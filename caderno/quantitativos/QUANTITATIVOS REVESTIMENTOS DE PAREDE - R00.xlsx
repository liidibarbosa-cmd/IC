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stimentos de parede" sheetId="1" state="visible" r:id="rId1"/>
    <sheet name="Produ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5E7C4"/>
    </font>
    <font>
      <b val="1"/>
      <color rgb="007A3423"/>
    </font>
    <font>
      <b val="1"/>
    </font>
  </fonts>
  <fills count="4">
    <fill>
      <patternFill/>
    </fill>
    <fill>
      <patternFill patternType="gray125"/>
    </fill>
    <fill>
      <patternFill patternType="solid">
        <fgColor rgb="003F422F"/>
      </patternFill>
    </fill>
    <fill>
      <patternFill patternType="solid">
        <fgColor rgb="00ECE4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32" customWidth="1" min="4" max="4"/>
    <col width="44" customWidth="1" min="5" max="5"/>
    <col width="11" customWidth="1" min="6" max="6"/>
    <col width="10" customWidth="1" min="7" max="7"/>
    <col width="14" customWidth="1" min="8" max="8"/>
    <col width="26" customWidth="1" min="9" max="9"/>
    <col width="13" customWidth="1" min="10" max="10"/>
    <col width="15" customWidth="1" min="11" max="11"/>
    <col width="15" customWidth="1" min="12" max="12"/>
    <col width="60" customWidth="1" min="13" max="13"/>
    <col width="26" customWidth="1" min="14" max="14"/>
  </cols>
  <sheetData>
    <row r="1">
      <c r="A1" s="1" t="inlineStr">
        <is>
          <t>Código</t>
        </is>
      </c>
      <c r="B1" s="1" t="inlineStr">
        <is>
          <t>Produto</t>
        </is>
      </c>
      <c r="C1" s="1" t="inlineStr">
        <is>
          <t>Elevação</t>
        </is>
      </c>
      <c r="D1" s="1" t="inlineStr">
        <is>
          <t>Ambiente</t>
        </is>
      </c>
      <c r="E1" s="1" t="inlineStr">
        <is>
          <t>Pano</t>
        </is>
      </c>
      <c r="F1" s="1" t="inlineStr">
        <is>
          <t>Largura (m)</t>
        </is>
      </c>
      <c r="G1" s="1" t="inlineStr">
        <is>
          <t>Altura (m)</t>
        </is>
      </c>
      <c r="H1" s="1" t="inlineStr">
        <is>
          <t>Área bruta (m²)</t>
        </is>
      </c>
      <c r="I1" s="1" t="inlineStr">
        <is>
          <t>Aberturas</t>
        </is>
      </c>
      <c r="J1" s="1" t="inlineStr">
        <is>
          <t>Desconto (m²)</t>
        </is>
      </c>
      <c r="K1" s="1" t="inlineStr">
        <is>
          <t>Acréscimo nicho (m²)</t>
        </is>
      </c>
      <c r="L1" s="1" t="inlineStr">
        <is>
          <t>Área líquida (m²)</t>
        </is>
      </c>
      <c r="M1" s="1" t="inlineStr">
        <is>
          <t>Observação</t>
        </is>
      </c>
      <c r="N1" s="1" t="inlineStr">
        <is>
          <t>Controle</t>
        </is>
      </c>
    </row>
    <row r="2">
      <c r="A2" s="2" t="inlineStr">
        <is>
          <t>RP01</t>
        </is>
      </c>
      <c r="B2" s="2" t="inlineStr">
        <is>
          <t>PEDRA MOLEDO</t>
        </is>
      </c>
      <c r="C2" s="2" t="n"/>
      <c r="D2" s="2" t="n"/>
      <c r="E2" s="2" t="n"/>
      <c r="F2" s="3" t="n"/>
      <c r="G2" s="3" t="n"/>
      <c r="H2" s="3" t="n"/>
      <c r="I2" s="2" t="n"/>
      <c r="J2" s="3" t="n"/>
      <c r="K2" s="3" t="n"/>
      <c r="L2" s="3" t="n"/>
      <c r="M2" s="2" t="n"/>
      <c r="N2" s="2" t="n"/>
    </row>
    <row r="3">
      <c r="A3" s="4" t="inlineStr">
        <is>
          <t>RP01</t>
        </is>
      </c>
      <c r="B3" s="4" t="inlineStr">
        <is>
          <t>Pedra Moledo</t>
        </is>
      </c>
      <c r="C3" s="4" t="inlineStr">
        <is>
          <t>E01</t>
        </is>
      </c>
      <c r="D3" s="4" t="inlineStr">
        <is>
          <t>Sala — fachada sul (externa)</t>
        </is>
      </c>
      <c r="E3" s="4" t="inlineStr">
        <is>
          <t>face externa sul, x 11,441 → 15,341</t>
        </is>
      </c>
      <c r="F3" s="5" t="n">
        <v>3.9</v>
      </c>
      <c r="G3" s="5" t="n">
        <v>3.2</v>
      </c>
      <c r="H3" s="5">
        <f>F3*G3</f>
        <v/>
      </c>
      <c r="I3" s="4" t="inlineStr"/>
      <c r="J3" s="5" t="n">
        <v>0</v>
      </c>
      <c r="K3" s="5" t="n">
        <v>0</v>
      </c>
      <c r="L3" s="5">
        <f>H3-J3+K3</f>
        <v/>
      </c>
      <c r="M3" s="4" t="inlineStr">
        <is>
          <t>Inclui a face do pilar junto à garagem (0,15 m), conforme imagem enviada</t>
        </is>
      </c>
      <c r="N3" s="4" t="inlineStr">
        <is>
          <t>Arquivo + Informado</t>
        </is>
      </c>
    </row>
    <row r="4">
      <c r="A4" s="4" t="inlineStr">
        <is>
          <t>RP01</t>
        </is>
      </c>
      <c r="B4" s="4" t="inlineStr">
        <is>
          <t>Pedra Moledo</t>
        </is>
      </c>
      <c r="C4" s="4" t="inlineStr">
        <is>
          <t>E02</t>
        </is>
      </c>
      <c r="D4" s="4" t="inlineStr">
        <is>
          <t>Sala — fachada leste (externa)</t>
        </is>
      </c>
      <c r="E4" s="4" t="inlineStr">
        <is>
          <t>face externa leste, y 19,536 → 24,055 (até o muro)</t>
        </is>
      </c>
      <c r="F4" s="5" t="n">
        <v>4.519</v>
      </c>
      <c r="G4" s="5" t="n">
        <v>3.2</v>
      </c>
      <c r="H4" s="5">
        <f>F4*G4</f>
        <v/>
      </c>
      <c r="I4" s="4" t="inlineStr">
        <is>
          <t>J01 2.5x2.5</t>
        </is>
      </c>
      <c r="J4" s="5" t="n">
        <v>6.25</v>
      </c>
      <c r="K4" s="5" t="n">
        <v>0</v>
      </c>
      <c r="L4" s="5">
        <f>H4-J4+K4</f>
        <v/>
      </c>
      <c r="M4" s="4" t="inlineStr">
        <is>
          <t>Desconta só a janela J01; pedra abaixo, acima e dos lados</t>
        </is>
      </c>
      <c r="N4" s="4" t="inlineStr">
        <is>
          <t>Arquivo + Informado</t>
        </is>
      </c>
    </row>
    <row r="5">
      <c r="A5" s="4" t="inlineStr">
        <is>
          <t>RP01</t>
        </is>
      </c>
      <c r="B5" s="4" t="inlineStr">
        <is>
          <t>Pedra Moledo</t>
        </is>
      </c>
      <c r="C5" s="4" t="inlineStr">
        <is>
          <t>E03</t>
        </is>
      </c>
      <c r="D5" s="4" t="inlineStr">
        <is>
          <t>Sala — parede da TV (interna)</t>
        </is>
      </c>
      <c r="E5" s="4" t="inlineStr">
        <is>
          <t>face interna sul, x 11,591 → 15,191</t>
        </is>
      </c>
      <c r="F5" s="5" t="n">
        <v>3.6</v>
      </c>
      <c r="G5" s="5" t="n">
        <v>3.4</v>
      </c>
      <c r="H5" s="5">
        <f>F5*G5</f>
        <v/>
      </c>
      <c r="I5" s="4" t="inlineStr"/>
      <c r="J5" s="5" t="n">
        <v>0</v>
      </c>
      <c r="K5" s="5" t="n">
        <v>0</v>
      </c>
      <c r="L5" s="5">
        <f>H5-J5+K5</f>
        <v/>
      </c>
      <c r="M5" s="4" t="inlineStr">
        <is>
          <t>Parede toda; PD 3,40 m do DWG (imagem cota 3,75 × 3,591 m)</t>
        </is>
      </c>
      <c r="N5" s="4" t="inlineStr">
        <is>
          <t>Arquivo + Informado</t>
        </is>
      </c>
    </row>
    <row r="6">
      <c r="A6" s="6" t="inlineStr"/>
      <c r="B6" s="6" t="inlineStr">
        <is>
          <t>Subtotal RP01</t>
        </is>
      </c>
      <c r="C6" s="6" t="inlineStr"/>
      <c r="D6" s="6" t="inlineStr"/>
      <c r="E6" s="6" t="inlineStr"/>
      <c r="F6" s="7" t="inlineStr"/>
      <c r="G6" s="7" t="inlineStr"/>
      <c r="H6" s="7" t="inlineStr"/>
      <c r="I6" s="6" t="inlineStr"/>
      <c r="J6" s="7" t="inlineStr"/>
      <c r="K6" s="7" t="inlineStr"/>
      <c r="L6" s="7">
        <f>SUM(L3:L5)</f>
        <v/>
      </c>
      <c r="M6" s="6" t="n"/>
      <c r="N6" s="6" t="n"/>
    </row>
    <row r="7">
      <c r="A7" s="2" t="inlineStr">
        <is>
          <t>RP02</t>
        </is>
      </c>
      <c r="B7" s="2" t="inlineStr">
        <is>
          <t>PORCELANATO SANTORINI OFW NAT</t>
        </is>
      </c>
      <c r="C7" s="2" t="n"/>
      <c r="D7" s="2" t="n"/>
      <c r="E7" s="2" t="n"/>
      <c r="F7" s="3" t="n"/>
      <c r="G7" s="3" t="n"/>
      <c r="H7" s="3" t="n"/>
      <c r="I7" s="2" t="n"/>
      <c r="J7" s="3" t="n"/>
      <c r="K7" s="3" t="n"/>
      <c r="L7" s="3" t="n"/>
      <c r="M7" s="2" t="n"/>
      <c r="N7" s="2" t="n"/>
    </row>
    <row r="8">
      <c r="A8" s="4" t="inlineStr">
        <is>
          <t>RP02</t>
        </is>
      </c>
      <c r="B8" s="4" t="inlineStr">
        <is>
          <t>Porcelanato Santorini OFW NAT</t>
        </is>
      </c>
      <c r="C8" s="4" t="inlineStr">
        <is>
          <t>E04</t>
        </is>
      </c>
      <c r="D8" s="4" t="inlineStr">
        <is>
          <t>Banheiro Casal</t>
        </is>
      </c>
      <c r="E8" s="4" t="inlineStr">
        <is>
          <t>lateral do box (0,90 m)</t>
        </is>
      </c>
      <c r="F8" s="5" t="n">
        <v>0.9</v>
      </c>
      <c r="G8" s="5" t="n">
        <v>2.85</v>
      </c>
      <c r="H8" s="5">
        <f>F8*G8</f>
        <v/>
      </c>
      <c r="I8" s="4" t="inlineStr"/>
      <c r="J8" s="5" t="n">
        <v>0</v>
      </c>
      <c r="K8" s="5" t="n">
        <v>0</v>
      </c>
      <c r="L8" s="5">
        <f>H8-J8+K8</f>
        <v/>
      </c>
      <c r="M8" s="4" t="inlineStr"/>
      <c r="N8" s="4" t="inlineStr">
        <is>
          <t>Arquivo + Informado</t>
        </is>
      </c>
    </row>
    <row r="9">
      <c r="A9" s="4" t="inlineStr">
        <is>
          <t>RP02</t>
        </is>
      </c>
      <c r="B9" s="4" t="inlineStr">
        <is>
          <t>Porcelanato Santorini OFW NAT</t>
        </is>
      </c>
      <c r="C9" s="4" t="inlineStr">
        <is>
          <t>E04</t>
        </is>
      </c>
      <c r="D9" s="4" t="inlineStr">
        <is>
          <t>Banheiro Casal</t>
        </is>
      </c>
      <c r="E9" s="4" t="inlineStr">
        <is>
          <t>lateral do box (0,90 m)</t>
        </is>
      </c>
      <c r="F9" s="5" t="n">
        <v>0.9</v>
      </c>
      <c r="G9" s="5" t="n">
        <v>2.85</v>
      </c>
      <c r="H9" s="5">
        <f>F9*G9</f>
        <v/>
      </c>
      <c r="I9" s="4" t="inlineStr"/>
      <c r="J9" s="5" t="n">
        <v>0</v>
      </c>
      <c r="K9" s="5" t="n">
        <v>0</v>
      </c>
      <c r="L9" s="5">
        <f>H9-J9+K9</f>
        <v/>
      </c>
      <c r="M9" s="4" t="inlineStr"/>
      <c r="N9" s="4" t="inlineStr">
        <is>
          <t>Arquivo + Informado</t>
        </is>
      </c>
    </row>
    <row r="10">
      <c r="A10" s="4" t="inlineStr">
        <is>
          <t>RP02</t>
        </is>
      </c>
      <c r="B10" s="4" t="inlineStr">
        <is>
          <t>Porcelanato Santorini OFW NAT</t>
        </is>
      </c>
      <c r="C10" s="4" t="inlineStr">
        <is>
          <t>E05</t>
        </is>
      </c>
      <c r="D10" s="4" t="inlineStr">
        <is>
          <t>WC 02</t>
        </is>
      </c>
      <c r="E10" s="4" t="inlineStr">
        <is>
          <t>lateral do box (0,90 m)</t>
        </is>
      </c>
      <c r="F10" s="5" t="n">
        <v>0.9</v>
      </c>
      <c r="G10" s="5" t="n">
        <v>2.85</v>
      </c>
      <c r="H10" s="5">
        <f>F10*G10</f>
        <v/>
      </c>
      <c r="I10" s="4" t="inlineStr"/>
      <c r="J10" s="5" t="n">
        <v>0</v>
      </c>
      <c r="K10" s="5" t="n">
        <v>0</v>
      </c>
      <c r="L10" s="5">
        <f>H10-J10+K10</f>
        <v/>
      </c>
      <c r="M10" s="4" t="inlineStr"/>
      <c r="N10" s="4" t="inlineStr">
        <is>
          <t>Arquivo + Informado</t>
        </is>
      </c>
    </row>
    <row r="11">
      <c r="A11" s="4" t="inlineStr">
        <is>
          <t>RP02</t>
        </is>
      </c>
      <c r="B11" s="4" t="inlineStr">
        <is>
          <t>Porcelanato Santorini OFW NAT</t>
        </is>
      </c>
      <c r="C11" s="4" t="inlineStr">
        <is>
          <t>E05</t>
        </is>
      </c>
      <c r="D11" s="4" t="inlineStr">
        <is>
          <t>WC 02</t>
        </is>
      </c>
      <c r="E11" s="4" t="inlineStr">
        <is>
          <t>lateral do box (0,90 m)</t>
        </is>
      </c>
      <c r="F11" s="5" t="n">
        <v>0.9</v>
      </c>
      <c r="G11" s="5" t="n">
        <v>2.85</v>
      </c>
      <c r="H11" s="5">
        <f>F11*G11</f>
        <v/>
      </c>
      <c r="I11" s="4" t="inlineStr"/>
      <c r="J11" s="5" t="n">
        <v>0</v>
      </c>
      <c r="K11" s="5" t="n">
        <v>0</v>
      </c>
      <c r="L11" s="5">
        <f>H11-J11+K11</f>
        <v/>
      </c>
      <c r="M11" s="4" t="inlineStr"/>
      <c r="N11" s="4" t="inlineStr">
        <is>
          <t>Arquivo + Informado</t>
        </is>
      </c>
    </row>
    <row r="12">
      <c r="A12" s="4" t="inlineStr">
        <is>
          <t>RP02</t>
        </is>
      </c>
      <c r="B12" s="4" t="inlineStr">
        <is>
          <t>Porcelanato Santorini OFW NAT</t>
        </is>
      </c>
      <c r="C12" s="4" t="inlineStr">
        <is>
          <t>E06</t>
        </is>
      </c>
      <c r="D12" s="4" t="inlineStr">
        <is>
          <t>WC 01</t>
        </is>
      </c>
      <c r="E12" s="4" t="inlineStr">
        <is>
          <t>lateral do box (0,90 m)</t>
        </is>
      </c>
      <c r="F12" s="5" t="n">
        <v>0.9</v>
      </c>
      <c r="G12" s="5" t="n">
        <v>2.85</v>
      </c>
      <c r="H12" s="5">
        <f>F12*G12</f>
        <v/>
      </c>
      <c r="I12" s="4" t="inlineStr"/>
      <c r="J12" s="5" t="n">
        <v>0</v>
      </c>
      <c r="K12" s="5" t="n">
        <v>0</v>
      </c>
      <c r="L12" s="5">
        <f>H12-J12+K12</f>
        <v/>
      </c>
      <c r="M12" s="4" t="inlineStr"/>
      <c r="N12" s="4" t="inlineStr">
        <is>
          <t>Arquivo + Informado</t>
        </is>
      </c>
    </row>
    <row r="13">
      <c r="A13" s="4" t="inlineStr">
        <is>
          <t>RP02</t>
        </is>
      </c>
      <c r="B13" s="4" t="inlineStr">
        <is>
          <t>Porcelanato Santorini OFW NAT</t>
        </is>
      </c>
      <c r="C13" s="4" t="inlineStr">
        <is>
          <t>E06</t>
        </is>
      </c>
      <c r="D13" s="4" t="inlineStr">
        <is>
          <t>WC 01</t>
        </is>
      </c>
      <c r="E13" s="4" t="inlineStr">
        <is>
          <t>lateral do box (0,90 m)</t>
        </is>
      </c>
      <c r="F13" s="5" t="n">
        <v>0.9</v>
      </c>
      <c r="G13" s="5" t="n">
        <v>2.85</v>
      </c>
      <c r="H13" s="5">
        <f>F13*G13</f>
        <v/>
      </c>
      <c r="I13" s="4" t="inlineStr"/>
      <c r="J13" s="5" t="n">
        <v>0</v>
      </c>
      <c r="K13" s="5" t="n">
        <v>0</v>
      </c>
      <c r="L13" s="5">
        <f>H13-J13+K13</f>
        <v/>
      </c>
      <c r="M13" s="4" t="inlineStr"/>
      <c r="N13" s="4" t="inlineStr">
        <is>
          <t>Arquivo + Informado</t>
        </is>
      </c>
    </row>
    <row r="14">
      <c r="A14" s="4" t="inlineStr">
        <is>
          <t>RP02</t>
        </is>
      </c>
      <c r="B14" s="4" t="inlineStr">
        <is>
          <t>Porcelanato Santorini OFW NAT</t>
        </is>
      </c>
      <c r="C14" s="4" t="inlineStr">
        <is>
          <t>E07</t>
        </is>
      </c>
      <c r="D14" s="4" t="inlineStr">
        <is>
          <t>Banheiro Externo</t>
        </is>
      </c>
      <c r="E14" s="4" t="inlineStr">
        <is>
          <t>lateral do box (0,90 m)</t>
        </is>
      </c>
      <c r="F14" s="5" t="n">
        <v>0.9</v>
      </c>
      <c r="G14" s="5" t="n">
        <v>2.85</v>
      </c>
      <c r="H14" s="5">
        <f>F14*G14</f>
        <v/>
      </c>
      <c r="I14" s="4" t="inlineStr"/>
      <c r="J14" s="5" t="n">
        <v>0</v>
      </c>
      <c r="K14" s="5" t="n">
        <v>0</v>
      </c>
      <c r="L14" s="5">
        <f>H14-J14+K14</f>
        <v/>
      </c>
      <c r="M14" s="4" t="inlineStr"/>
      <c r="N14" s="4" t="inlineStr">
        <is>
          <t>Arquivo + Informado</t>
        </is>
      </c>
    </row>
    <row r="15">
      <c r="A15" s="4" t="inlineStr">
        <is>
          <t>RP02</t>
        </is>
      </c>
      <c r="B15" s="4" t="inlineStr">
        <is>
          <t>Porcelanato Santorini OFW NAT</t>
        </is>
      </c>
      <c r="C15" s="4" t="inlineStr">
        <is>
          <t>E07</t>
        </is>
      </c>
      <c r="D15" s="4" t="inlineStr">
        <is>
          <t>Banheiro Externo</t>
        </is>
      </c>
      <c r="E15" s="4" t="inlineStr">
        <is>
          <t>lateral do box (0,90 m)</t>
        </is>
      </c>
      <c r="F15" s="5" t="n">
        <v>0.9</v>
      </c>
      <c r="G15" s="5" t="n">
        <v>2.85</v>
      </c>
      <c r="H15" s="5">
        <f>F15*G15</f>
        <v/>
      </c>
      <c r="I15" s="4" t="inlineStr"/>
      <c r="J15" s="5" t="n">
        <v>0</v>
      </c>
      <c r="K15" s="5" t="n">
        <v>0</v>
      </c>
      <c r="L15" s="5">
        <f>H15-J15+K15</f>
        <v/>
      </c>
      <c r="M15" s="4" t="inlineStr"/>
      <c r="N15" s="4" t="inlineStr">
        <is>
          <t>Arquivo + Informado</t>
        </is>
      </c>
    </row>
    <row r="16">
      <c r="A16" s="4" t="inlineStr">
        <is>
          <t>RP02</t>
        </is>
      </c>
      <c r="B16" s="4" t="inlineStr">
        <is>
          <t>Porcelanato Santorini OFW NAT</t>
        </is>
      </c>
      <c r="C16" s="4" t="inlineStr">
        <is>
          <t>E08</t>
        </is>
      </c>
      <c r="D16" s="4" t="inlineStr">
        <is>
          <t>Lavanderia</t>
        </is>
      </c>
      <c r="E16" s="4" t="inlineStr">
        <is>
          <t>parede inferior inteira (divisa com a garagem)</t>
        </is>
      </c>
      <c r="F16" s="5" t="n">
        <v>2.75</v>
      </c>
      <c r="G16" s="5" t="n">
        <v>2.85</v>
      </c>
      <c r="H16" s="5">
        <f>F16*G16</f>
        <v/>
      </c>
      <c r="I16" s="4" t="inlineStr"/>
      <c r="J16" s="5" t="n">
        <v>0</v>
      </c>
      <c r="K16" s="5" t="n">
        <v>0</v>
      </c>
      <c r="L16" s="5">
        <f>H16-J16+K16</f>
        <v/>
      </c>
      <c r="M16" s="4" t="inlineStr"/>
      <c r="N16" s="4" t="inlineStr">
        <is>
          <t>Arquivo + Informado</t>
        </is>
      </c>
    </row>
    <row r="17">
      <c r="A17" s="4" t="inlineStr">
        <is>
          <t>RP02</t>
        </is>
      </c>
      <c r="B17" s="4" t="inlineStr">
        <is>
          <t>Porcelanato Santorini OFW NAT</t>
        </is>
      </c>
      <c r="C17" s="4" t="inlineStr">
        <is>
          <t>E10</t>
        </is>
      </c>
      <c r="D17" s="4" t="inlineStr">
        <is>
          <t>Cozinha — balcão</t>
        </is>
      </c>
      <c r="E17" s="4" t="inlineStr">
        <is>
          <t>face sul da mureta 1,90 × 0,15 (DWG Prefeitura)</t>
        </is>
      </c>
      <c r="F17" s="5" t="n">
        <v>1.9</v>
      </c>
      <c r="G17" s="5" t="n">
        <v>1</v>
      </c>
      <c r="H17" s="5">
        <f>F17*G17</f>
        <v/>
      </c>
      <c r="I17" s="4" t="inlineStr"/>
      <c r="J17" s="5" t="n">
        <v>0</v>
      </c>
      <c r="K17" s="5" t="n">
        <v>0</v>
      </c>
      <c r="L17" s="5">
        <f>H17-J17+K17</f>
        <v/>
      </c>
      <c r="M17" s="4" t="inlineStr"/>
      <c r="N17" s="4" t="inlineStr">
        <is>
          <t>Arquivo + Informado</t>
        </is>
      </c>
    </row>
    <row r="18">
      <c r="A18" s="4" t="inlineStr">
        <is>
          <t>RP02</t>
        </is>
      </c>
      <c r="B18" s="4" t="inlineStr">
        <is>
          <t>Porcelanato Santorini OFW NAT</t>
        </is>
      </c>
      <c r="C18" s="4" t="inlineStr">
        <is>
          <t>E10</t>
        </is>
      </c>
      <c r="D18" s="4" t="inlineStr">
        <is>
          <t>Cozinha — balcão</t>
        </is>
      </c>
      <c r="E18" s="4" t="inlineStr">
        <is>
          <t>face norte da mureta 1,90 × 0,15 (DWG Prefeitura)</t>
        </is>
      </c>
      <c r="F18" s="5" t="n">
        <v>1.9</v>
      </c>
      <c r="G18" s="5" t="n">
        <v>1</v>
      </c>
      <c r="H18" s="5">
        <f>F18*G18</f>
        <v/>
      </c>
      <c r="I18" s="4" t="inlineStr"/>
      <c r="J18" s="5" t="n">
        <v>0</v>
      </c>
      <c r="K18" s="5" t="n">
        <v>0</v>
      </c>
      <c r="L18" s="5">
        <f>H18-J18+K18</f>
        <v/>
      </c>
      <c r="M18" s="4" t="inlineStr"/>
      <c r="N18" s="4" t="inlineStr">
        <is>
          <t>Arquivo + Informado</t>
        </is>
      </c>
    </row>
    <row r="19">
      <c r="A19" s="6" t="inlineStr"/>
      <c r="B19" s="6" t="inlineStr">
        <is>
          <t>Subtotal RP02</t>
        </is>
      </c>
      <c r="C19" s="6" t="inlineStr"/>
      <c r="D19" s="6" t="inlineStr"/>
      <c r="E19" s="6" t="inlineStr"/>
      <c r="F19" s="7" t="inlineStr"/>
      <c r="G19" s="7" t="inlineStr"/>
      <c r="H19" s="7" t="inlineStr"/>
      <c r="I19" s="6" t="inlineStr"/>
      <c r="J19" s="7" t="inlineStr"/>
      <c r="K19" s="7" t="inlineStr"/>
      <c r="L19" s="7">
        <f>SUM(L8:L18)</f>
        <v/>
      </c>
      <c r="M19" s="6" t="n"/>
      <c r="N19" s="6" t="n"/>
    </row>
    <row r="20">
      <c r="A20" s="2" t="inlineStr">
        <is>
          <t>RP03</t>
        </is>
      </c>
      <c r="B20" s="2" t="inlineStr">
        <is>
          <t>PORCELANATO CONFETE WH NAT</t>
        </is>
      </c>
      <c r="C20" s="2" t="n"/>
      <c r="D20" s="2" t="n"/>
      <c r="E20" s="2" t="n"/>
      <c r="F20" s="3" t="n"/>
      <c r="G20" s="3" t="n"/>
      <c r="H20" s="3" t="n"/>
      <c r="I20" s="2" t="n"/>
      <c r="J20" s="3" t="n"/>
      <c r="K20" s="3" t="n"/>
      <c r="L20" s="3" t="n"/>
      <c r="M20" s="2" t="n"/>
      <c r="N20" s="2" t="n"/>
    </row>
    <row r="21">
      <c r="A21" s="4" t="inlineStr">
        <is>
          <t>RP03</t>
        </is>
      </c>
      <c r="B21" s="4" t="inlineStr">
        <is>
          <t>Porcelanato Confete WH NAT</t>
        </is>
      </c>
      <c r="C21" s="4" t="inlineStr">
        <is>
          <t>E04</t>
        </is>
      </c>
      <c r="D21" s="4" t="inlineStr">
        <is>
          <t>Banheiro Casal</t>
        </is>
      </c>
      <c r="E21" s="4" t="inlineStr">
        <is>
          <t>fundo do box (parede da janela / nicho)</t>
        </is>
      </c>
      <c r="F21" s="5" t="n">
        <v>1.95</v>
      </c>
      <c r="G21" s="5" t="n">
        <v>2.85</v>
      </c>
      <c r="H21" s="5">
        <f>F21*G21</f>
        <v/>
      </c>
      <c r="I21" s="4" t="inlineStr">
        <is>
          <t>J04 1.0x0.6</t>
        </is>
      </c>
      <c r="J21" s="5" t="n">
        <v>0.6</v>
      </c>
      <c r="K21" s="5">
        <f>2*0.1*F21+2*0.1*0.3</f>
        <v/>
      </c>
      <c r="L21" s="5">
        <f>H21-J21+K21</f>
        <v/>
      </c>
      <c r="M21" s="4" t="inlineStr"/>
      <c r="N21" s="4" t="inlineStr">
        <is>
          <t>Arquivo + Informado</t>
        </is>
      </c>
    </row>
    <row r="22">
      <c r="A22" s="6" t="inlineStr"/>
      <c r="B22" s="6" t="inlineStr">
        <is>
          <t>Subtotal RP03</t>
        </is>
      </c>
      <c r="C22" s="6" t="inlineStr"/>
      <c r="D22" s="6" t="inlineStr"/>
      <c r="E22" s="6" t="inlineStr"/>
      <c r="F22" s="7" t="inlineStr"/>
      <c r="G22" s="7" t="inlineStr"/>
      <c r="H22" s="7" t="inlineStr"/>
      <c r="I22" s="6" t="inlineStr"/>
      <c r="J22" s="7" t="inlineStr"/>
      <c r="K22" s="7" t="inlineStr"/>
      <c r="L22" s="7">
        <f>SUM(L21:L21)</f>
        <v/>
      </c>
      <c r="M22" s="6" t="n"/>
      <c r="N22" s="6" t="n"/>
    </row>
    <row r="23">
      <c r="A23" s="2" t="inlineStr">
        <is>
          <t>RP04</t>
        </is>
      </c>
      <c r="B23" s="2" t="inlineStr">
        <is>
          <t>PORCELANATO CONFETE PK NAT (PINK)</t>
        </is>
      </c>
      <c r="C23" s="2" t="n"/>
      <c r="D23" s="2" t="n"/>
      <c r="E23" s="2" t="n"/>
      <c r="F23" s="3" t="n"/>
      <c r="G23" s="3" t="n"/>
      <c r="H23" s="3" t="n"/>
      <c r="I23" s="2" t="n"/>
      <c r="J23" s="3" t="n"/>
      <c r="K23" s="3" t="n"/>
      <c r="L23" s="3" t="n"/>
      <c r="M23" s="2" t="n"/>
      <c r="N23" s="2" t="n"/>
    </row>
    <row r="24">
      <c r="A24" s="4" t="inlineStr">
        <is>
          <t>RP04</t>
        </is>
      </c>
      <c r="B24" s="4" t="inlineStr">
        <is>
          <t>Porcelanato Confete PK NAT (Pink)</t>
        </is>
      </c>
      <c r="C24" s="4" t="inlineStr">
        <is>
          <t>E05</t>
        </is>
      </c>
      <c r="D24" s="4" t="inlineStr">
        <is>
          <t>WC 02</t>
        </is>
      </c>
      <c r="E24" s="4" t="inlineStr">
        <is>
          <t>fundo do box (parede da janela / nicho)</t>
        </is>
      </c>
      <c r="F24" s="5" t="n">
        <v>1.5</v>
      </c>
      <c r="G24" s="5" t="n">
        <v>2.85</v>
      </c>
      <c r="H24" s="5">
        <f>F24*G24</f>
        <v/>
      </c>
      <c r="I24" s="4" t="inlineStr">
        <is>
          <t>J04 1.0x0.6</t>
        </is>
      </c>
      <c r="J24" s="5" t="n">
        <v>0.6</v>
      </c>
      <c r="K24" s="5">
        <f>2*0.1*F24+2*0.1*0.3</f>
        <v/>
      </c>
      <c r="L24" s="5">
        <f>H24-J24+K24</f>
        <v/>
      </c>
      <c r="M24" s="4" t="inlineStr"/>
      <c r="N24" s="4" t="inlineStr">
        <is>
          <t>Arquivo + Informado</t>
        </is>
      </c>
    </row>
    <row r="25">
      <c r="A25" s="4" t="inlineStr">
        <is>
          <t>RP04</t>
        </is>
      </c>
      <c r="B25" s="4" t="inlineStr">
        <is>
          <t>Porcelanato Confete PK NAT (Pink)</t>
        </is>
      </c>
      <c r="C25" s="4" t="inlineStr">
        <is>
          <t>E06</t>
        </is>
      </c>
      <c r="D25" s="4" t="inlineStr">
        <is>
          <t>WC 01</t>
        </is>
      </c>
      <c r="E25" s="4" t="inlineStr">
        <is>
          <t>fundo do box (parede da janela / nicho)</t>
        </is>
      </c>
      <c r="F25" s="5" t="n">
        <v>1.5</v>
      </c>
      <c r="G25" s="5" t="n">
        <v>2.85</v>
      </c>
      <c r="H25" s="5">
        <f>F25*G25</f>
        <v/>
      </c>
      <c r="I25" s="4" t="inlineStr">
        <is>
          <t>J04 1.0x0.6</t>
        </is>
      </c>
      <c r="J25" s="5" t="n">
        <v>0.6</v>
      </c>
      <c r="K25" s="5">
        <f>2*0.1*F25+2*0.1*0.3</f>
        <v/>
      </c>
      <c r="L25" s="5">
        <f>H25-J25+K25</f>
        <v/>
      </c>
      <c r="M25" s="4" t="inlineStr"/>
      <c r="N25" s="4" t="inlineStr">
        <is>
          <t>Arquivo + Informado</t>
        </is>
      </c>
    </row>
    <row r="26">
      <c r="A26" s="6" t="inlineStr"/>
      <c r="B26" s="6" t="inlineStr">
        <is>
          <t>Subtotal RP04</t>
        </is>
      </c>
      <c r="C26" s="6" t="inlineStr"/>
      <c r="D26" s="6" t="inlineStr"/>
      <c r="E26" s="6" t="inlineStr"/>
      <c r="F26" s="7" t="inlineStr"/>
      <c r="G26" s="7" t="inlineStr"/>
      <c r="H26" s="7" t="inlineStr"/>
      <c r="I26" s="6" t="inlineStr"/>
      <c r="J26" s="7" t="inlineStr"/>
      <c r="K26" s="7" t="inlineStr"/>
      <c r="L26" s="7">
        <f>SUM(L24:L25)</f>
        <v/>
      </c>
      <c r="M26" s="6" t="n"/>
      <c r="N26" s="6" t="n"/>
    </row>
    <row r="27">
      <c r="A27" s="2" t="inlineStr">
        <is>
          <t>RP05</t>
        </is>
      </c>
      <c r="B27" s="2" t="inlineStr">
        <is>
          <t>REVESTIMENTO FATTO OLIVA AC</t>
        </is>
      </c>
      <c r="C27" s="2" t="n"/>
      <c r="D27" s="2" t="n"/>
      <c r="E27" s="2" t="n"/>
      <c r="F27" s="3" t="n"/>
      <c r="G27" s="3" t="n"/>
      <c r="H27" s="3" t="n"/>
      <c r="I27" s="2" t="n"/>
      <c r="J27" s="3" t="n"/>
      <c r="K27" s="3" t="n"/>
      <c r="L27" s="3" t="n"/>
      <c r="M27" s="2" t="n"/>
      <c r="N27" s="2" t="n"/>
    </row>
    <row r="28">
      <c r="A28" s="4" t="inlineStr">
        <is>
          <t>RP05</t>
        </is>
      </c>
      <c r="B28" s="4" t="inlineStr">
        <is>
          <t>Revestimento Fatto Oliva AC</t>
        </is>
      </c>
      <c r="C28" s="4" t="inlineStr">
        <is>
          <t>E07</t>
        </is>
      </c>
      <c r="D28" s="4" t="inlineStr">
        <is>
          <t>Banheiro Externo</t>
        </is>
      </c>
      <c r="E28" s="4" t="inlineStr">
        <is>
          <t>fundo do box (parede da janela / nicho)</t>
        </is>
      </c>
      <c r="F28" s="5" t="n">
        <v>1.4</v>
      </c>
      <c r="G28" s="5" t="n">
        <v>2.85</v>
      </c>
      <c r="H28" s="5">
        <f>F28*G28</f>
        <v/>
      </c>
      <c r="I28" s="4" t="inlineStr"/>
      <c r="J28" s="5" t="n">
        <v>0</v>
      </c>
      <c r="K28" s="5">
        <f>2*0.1*F28+2*0.1*0.3</f>
        <v/>
      </c>
      <c r="L28" s="5">
        <f>H28-J28+K28</f>
        <v/>
      </c>
      <c r="M28" s="4" t="inlineStr"/>
      <c r="N28" s="4" t="inlineStr">
        <is>
          <t>Arquivo + Informado</t>
        </is>
      </c>
    </row>
    <row r="29">
      <c r="A29" s="6" t="inlineStr"/>
      <c r="B29" s="6" t="inlineStr">
        <is>
          <t>Subtotal RP05</t>
        </is>
      </c>
      <c r="C29" s="6" t="inlineStr"/>
      <c r="D29" s="6" t="inlineStr"/>
      <c r="E29" s="6" t="inlineStr"/>
      <c r="F29" s="7" t="inlineStr"/>
      <c r="G29" s="7" t="inlineStr"/>
      <c r="H29" s="7" t="inlineStr"/>
      <c r="I29" s="6" t="inlineStr"/>
      <c r="J29" s="7" t="inlineStr"/>
      <c r="K29" s="7" t="inlineStr"/>
      <c r="L29" s="7">
        <f>SUM(L28:L28)</f>
        <v/>
      </c>
      <c r="M29" s="6" t="n"/>
      <c r="N29" s="6" t="n"/>
    </row>
    <row r="30">
      <c r="A30" s="2" t="inlineStr">
        <is>
          <t>RP06</t>
        </is>
      </c>
      <c r="B30" s="2" t="inlineStr">
        <is>
          <t>TRAVERTINO ROCK FACE</t>
        </is>
      </c>
      <c r="C30" s="2" t="n"/>
      <c r="D30" s="2" t="n"/>
      <c r="E30" s="2" t="n"/>
      <c r="F30" s="3" t="n"/>
      <c r="G30" s="3" t="n"/>
      <c r="H30" s="3" t="n"/>
      <c r="I30" s="2" t="n"/>
      <c r="J30" s="3" t="n"/>
      <c r="K30" s="3" t="n"/>
      <c r="L30" s="3" t="n"/>
      <c r="M30" s="2" t="n"/>
      <c r="N30" s="2" t="n"/>
    </row>
    <row r="31">
      <c r="A31" s="4" t="inlineStr">
        <is>
          <t>RP06</t>
        </is>
      </c>
      <c r="B31" s="4" t="inlineStr">
        <is>
          <t>Travertino Rock Face</t>
        </is>
      </c>
      <c r="C31" s="4" t="inlineStr">
        <is>
          <t>E11</t>
        </is>
      </c>
      <c r="D31" s="4" t="inlineStr">
        <is>
          <t>Varanda Gourmet</t>
        </is>
      </c>
      <c r="E31" s="4" t="inlineStr">
        <is>
          <t>faixa da bancada: 2,75 m, de 0,98 a 1,48 m, junto à churrasqueira</t>
        </is>
      </c>
      <c r="F31" s="5" t="n">
        <v>2.75</v>
      </c>
      <c r="G31" s="5" t="n">
        <v>0.5</v>
      </c>
      <c r="H31" s="5">
        <f>F31*G31</f>
        <v/>
      </c>
      <c r="I31" s="4" t="inlineStr"/>
      <c r="J31" s="5" t="n">
        <v>0</v>
      </c>
      <c r="K31" s="5" t="n">
        <v>0</v>
      </c>
      <c r="L31" s="5">
        <f>H31-J31+K31</f>
        <v/>
      </c>
      <c r="M31" s="4" t="inlineStr">
        <is>
          <t>Posição ao longo da parede: junto à churrasqueira, conforme elevação enviada</t>
        </is>
      </c>
      <c r="N31" s="4" t="inlineStr">
        <is>
          <t>Arquivo + Informado + Obra</t>
        </is>
      </c>
    </row>
    <row r="32">
      <c r="A32" s="4" t="inlineStr">
        <is>
          <t>RP06</t>
        </is>
      </c>
      <c r="B32" s="4" t="inlineStr">
        <is>
          <t>Travertino Rock Face</t>
        </is>
      </c>
      <c r="C32" s="4" t="inlineStr">
        <is>
          <t>E11</t>
        </is>
      </c>
      <c r="D32" s="4" t="inlineStr">
        <is>
          <t>Varanda Gourmet — churrasqueira</t>
        </is>
      </c>
      <c r="E32" s="4" t="inlineStr">
        <is>
          <t>frente (0,90 × 3,40 m)</t>
        </is>
      </c>
      <c r="F32" s="5" t="n">
        <v>0.9</v>
      </c>
      <c r="G32" s="5" t="n">
        <v>3.4</v>
      </c>
      <c r="H32" s="5">
        <f>F32*G32</f>
        <v/>
      </c>
      <c r="I32" s="4" t="inlineStr">
        <is>
          <t>Boca da churrasqueira 0.8x0.8</t>
        </is>
      </c>
      <c r="J32" s="5" t="n">
        <v>0.64</v>
      </c>
      <c r="K32" s="5" t="n">
        <v>0</v>
      </c>
      <c r="L32" s="5">
        <f>H32-J32+K32</f>
        <v/>
      </c>
      <c r="M32" s="4" t="inlineStr">
        <is>
          <t>Desconta a boca 0,80 × 0,80; posição vertical da boca A CONFIRMAR</t>
        </is>
      </c>
      <c r="N32" s="4" t="inlineStr">
        <is>
          <t>Informado + Obra</t>
        </is>
      </c>
    </row>
    <row r="33">
      <c r="A33" s="4" t="inlineStr">
        <is>
          <t>RP06</t>
        </is>
      </c>
      <c r="B33" s="4" t="inlineStr">
        <is>
          <t>Travertino Rock Face</t>
        </is>
      </c>
      <c r="C33" s="4" t="inlineStr">
        <is>
          <t>E12</t>
        </is>
      </c>
      <c r="D33" s="4" t="inlineStr">
        <is>
          <t>Varanda Gourmet — churrasqueira</t>
        </is>
      </c>
      <c r="E33" s="4" t="inlineStr">
        <is>
          <t>lateral esquerda (0,80 × 3,40 m)</t>
        </is>
      </c>
      <c r="F33" s="5" t="n">
        <v>0.8</v>
      </c>
      <c r="G33" s="5" t="n">
        <v>3.4</v>
      </c>
      <c r="H33" s="5">
        <f>F33*G33</f>
        <v/>
      </c>
      <c r="I33" s="4" t="inlineStr"/>
      <c r="J33" s="5" t="n">
        <v>0</v>
      </c>
      <c r="K33" s="5" t="n">
        <v>0</v>
      </c>
      <c r="L33" s="5">
        <f>H33-J33+K33</f>
        <v/>
      </c>
      <c r="M33" s="4" t="inlineStr">
        <is>
          <t>Lateral direita encostada na parede do Banheiro Externo: sem revestimento</t>
        </is>
      </c>
      <c r="N33" s="4" t="inlineStr">
        <is>
          <t>Informado</t>
        </is>
      </c>
    </row>
    <row r="34">
      <c r="A34" s="6" t="inlineStr"/>
      <c r="B34" s="6" t="inlineStr">
        <is>
          <t>Subtotal RP06</t>
        </is>
      </c>
      <c r="C34" s="6" t="inlineStr"/>
      <c r="D34" s="6" t="inlineStr"/>
      <c r="E34" s="6" t="inlineStr"/>
      <c r="F34" s="7" t="inlineStr"/>
      <c r="G34" s="7" t="inlineStr"/>
      <c r="H34" s="7" t="inlineStr"/>
      <c r="I34" s="6" t="inlineStr"/>
      <c r="J34" s="7" t="inlineStr"/>
      <c r="K34" s="7" t="inlineStr"/>
      <c r="L34" s="7">
        <f>SUM(L31:L33)</f>
        <v/>
      </c>
      <c r="M34" s="6" t="n"/>
      <c r="N34" s="6" t="n"/>
    </row>
    <row r="35">
      <c r="A35" s="2" t="inlineStr">
        <is>
          <t>RP07</t>
        </is>
      </c>
      <c r="B35" s="2" t="inlineStr">
        <is>
          <t>CERÂMICA SIMPLES — ELIANE FORMA BRANCO AC (FUNDO DA MARCENARIA)</t>
        </is>
      </c>
      <c r="C35" s="2" t="n"/>
      <c r="D35" s="2" t="n"/>
      <c r="E35" s="2" t="n"/>
      <c r="F35" s="3" t="n"/>
      <c r="G35" s="3" t="n"/>
      <c r="H35" s="3" t="n"/>
      <c r="I35" s="2" t="n"/>
      <c r="J35" s="3" t="n"/>
      <c r="K35" s="3" t="n"/>
      <c r="L35" s="3" t="n"/>
      <c r="M35" s="2" t="n"/>
      <c r="N35" s="2" t="n"/>
    </row>
    <row r="36">
      <c r="A36" s="4" t="inlineStr">
        <is>
          <t>RP07</t>
        </is>
      </c>
      <c r="B36" s="4" t="inlineStr">
        <is>
          <t>Cerâmica simples — Eliane Forma Branco AC (fundo da marcenaria)</t>
        </is>
      </c>
      <c r="C36" s="4" t="inlineStr">
        <is>
          <t>E09</t>
        </is>
      </c>
      <c r="D36" s="4" t="inlineStr">
        <is>
          <t>Cozinha</t>
        </is>
      </c>
      <c r="E36" s="4" t="inlineStr">
        <is>
          <t>parede esquerda inteira</t>
        </is>
      </c>
      <c r="F36" s="5" t="n">
        <v>4.2</v>
      </c>
      <c r="G36" s="5" t="n">
        <v>2.85</v>
      </c>
      <c r="H36" s="5">
        <f>F36*G36</f>
        <v/>
      </c>
      <c r="I36" s="4" t="inlineStr">
        <is>
          <t>J02 2.35x0.45</t>
        </is>
      </c>
      <c r="J36" s="5" t="n">
        <v>1.0575</v>
      </c>
      <c r="K36" s="5" t="n">
        <v>0</v>
      </c>
      <c r="L36" s="5">
        <f>H36-J36+K36</f>
        <v/>
      </c>
      <c r="M36" s="4" t="inlineStr">
        <is>
          <t>Altura = PD 2,85 m (paredes inteiras, informado)</t>
        </is>
      </c>
      <c r="N36" s="4" t="inlineStr">
        <is>
          <t>Arquivo + Informado + Obra</t>
        </is>
      </c>
    </row>
    <row r="37">
      <c r="A37" s="4" t="inlineStr">
        <is>
          <t>RP07</t>
        </is>
      </c>
      <c r="B37" s="4" t="inlineStr">
        <is>
          <t>Cerâmica simples — Eliane Forma Branco AC (fundo da marcenaria)</t>
        </is>
      </c>
      <c r="C37" s="4" t="inlineStr">
        <is>
          <t>E09</t>
        </is>
      </c>
      <c r="D37" s="4" t="inlineStr">
        <is>
          <t>Cozinha</t>
        </is>
      </c>
      <c r="E37" s="4" t="inlineStr">
        <is>
          <t>parede superior inteira</t>
        </is>
      </c>
      <c r="F37" s="5" t="n">
        <v>4.25</v>
      </c>
      <c r="G37" s="5" t="n">
        <v>2.85</v>
      </c>
      <c r="H37" s="5">
        <f>F37*G37</f>
        <v/>
      </c>
      <c r="I37" s="4" t="inlineStr"/>
      <c r="J37" s="5" t="n">
        <v>0</v>
      </c>
      <c r="K37" s="5" t="n">
        <v>0</v>
      </c>
      <c r="L37" s="5">
        <f>H37-J37+K37</f>
        <v/>
      </c>
      <c r="M37" s="4" t="inlineStr">
        <is>
          <t>Altura = PD 2,85 m (paredes inteiras, informado)</t>
        </is>
      </c>
      <c r="N37" s="4" t="inlineStr">
        <is>
          <t>Arquivo + Informado + Obra</t>
        </is>
      </c>
    </row>
    <row r="38">
      <c r="A38" s="6" t="inlineStr"/>
      <c r="B38" s="6" t="inlineStr">
        <is>
          <t>Subtotal RP07</t>
        </is>
      </c>
      <c r="C38" s="6" t="inlineStr"/>
      <c r="D38" s="6" t="inlineStr"/>
      <c r="E38" s="6" t="inlineStr"/>
      <c r="F38" s="7" t="inlineStr"/>
      <c r="G38" s="7" t="inlineStr"/>
      <c r="H38" s="7" t="inlineStr"/>
      <c r="I38" s="6" t="inlineStr"/>
      <c r="J38" s="7" t="inlineStr"/>
      <c r="K38" s="7" t="inlineStr"/>
      <c r="L38" s="7">
        <f>SUM(L36:L37)</f>
        <v/>
      </c>
      <c r="M38" s="6" t="n"/>
      <c r="N38" s="6" t="n"/>
    </row>
    <row r="39">
      <c r="A39" s="6" t="inlineStr"/>
      <c r="B39" s="6" t="inlineStr">
        <is>
          <t>TOTAL GERAL</t>
        </is>
      </c>
      <c r="C39" s="6" t="inlineStr"/>
      <c r="D39" s="6" t="inlineStr"/>
      <c r="E39" s="6" t="inlineStr"/>
      <c r="F39" s="7" t="inlineStr"/>
      <c r="G39" s="7" t="inlineStr"/>
      <c r="H39" s="7" t="inlineStr"/>
      <c r="I39" s="6" t="inlineStr"/>
      <c r="J39" s="7" t="inlineStr"/>
      <c r="K39" s="7" t="inlineStr"/>
      <c r="L39" s="7">
        <f>L6+L19+L22+L26+L29+L34+L38</f>
        <v/>
      </c>
      <c r="M39" s="6" t="n"/>
      <c r="N39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Produto</t>
        </is>
      </c>
      <c r="C1" t="inlineStr">
        <is>
          <t>Fabricante</t>
        </is>
      </c>
      <c r="D1" t="inlineStr">
        <is>
          <t>Formato</t>
        </is>
      </c>
      <c r="E1" t="inlineStr">
        <is>
          <t>Espessura</t>
        </is>
      </c>
      <c r="F1" t="inlineStr">
        <is>
          <t>Acabamento</t>
        </is>
      </c>
      <c r="G1" t="inlineStr">
        <is>
          <t>Rejunte</t>
        </is>
      </c>
    </row>
    <row r="2">
      <c r="A2" t="inlineStr">
        <is>
          <t>RP01</t>
        </is>
      </c>
      <c r="B2" t="inlineStr">
        <is>
          <t>Pedra Moledo</t>
        </is>
      </c>
      <c r="C2" t="inlineStr">
        <is>
          <t>Pedreira (compra à parte)</t>
        </is>
      </c>
      <c r="D2" t="inlineStr">
        <is>
          <t>A CONFIRMAR</t>
        </is>
      </c>
      <c r="E2" t="inlineStr">
        <is>
          <t>A CONFIRMAR</t>
        </is>
      </c>
      <c r="F2" t="inlineStr">
        <is>
          <t>Natural (pedra)</t>
        </is>
      </c>
      <c r="G2" t="inlineStr">
        <is>
          <t>A CONFIRMAR</t>
        </is>
      </c>
    </row>
    <row r="3">
      <c r="A3" t="inlineStr">
        <is>
          <t>RP02</t>
        </is>
      </c>
      <c r="B3" t="inlineStr">
        <is>
          <t>Porcelanato Santorini OFW NAT</t>
        </is>
      </c>
      <c r="C3" t="inlineStr">
        <is>
          <t>Portinari</t>
        </is>
      </c>
      <c r="D3" t="inlineStr">
        <is>
          <t>90 × 90 cm</t>
        </is>
      </c>
      <c r="E3" t="inlineStr">
        <is>
          <t>7,0 mm</t>
        </is>
      </c>
      <c r="F3" t="inlineStr">
        <is>
          <t>Natural (NAT), retificado</t>
        </is>
      </c>
      <c r="G3" t="inlineStr">
        <is>
          <t>Corda · junta seca</t>
        </is>
      </c>
    </row>
    <row r="4">
      <c r="A4" t="inlineStr">
        <is>
          <t>RP03</t>
        </is>
      </c>
      <c r="B4" t="inlineStr">
        <is>
          <t>Porcelanato Confete WH NAT</t>
        </is>
      </c>
      <c r="C4" t="inlineStr">
        <is>
          <t>CEUSA · cód. 5041209A</t>
        </is>
      </c>
      <c r="D4" t="inlineStr">
        <is>
          <t>100 × 100 cm</t>
        </is>
      </c>
      <c r="E4" t="inlineStr">
        <is>
          <t>9,0 mm</t>
        </is>
      </c>
      <c r="F4" t="inlineStr">
        <is>
          <t>Natural, retificado</t>
        </is>
      </c>
      <c r="G4" t="inlineStr">
        <is>
          <t>A CONFIRMAR</t>
        </is>
      </c>
    </row>
    <row r="5">
      <c r="A5" t="inlineStr">
        <is>
          <t>RP04</t>
        </is>
      </c>
      <c r="B5" t="inlineStr">
        <is>
          <t>Porcelanato Confete PK NAT (Pink)</t>
        </is>
      </c>
      <c r="C5" t="inlineStr">
        <is>
          <t>CEUSA · cód. 5041210A</t>
        </is>
      </c>
      <c r="D5" t="inlineStr">
        <is>
          <t>100 × 100 cm</t>
        </is>
      </c>
      <c r="E5" t="inlineStr">
        <is>
          <t>9,0 mm</t>
        </is>
      </c>
      <c r="F5" t="inlineStr">
        <is>
          <t>Natural, retificado</t>
        </is>
      </c>
      <c r="G5" t="inlineStr">
        <is>
          <t>Sugestão do fabricante: Quartzolit Preto Grafite, Rejuntabras Marfim ou Quartzobras Castor</t>
        </is>
      </c>
    </row>
    <row r="6">
      <c r="A6" t="inlineStr">
        <is>
          <t>RP05</t>
        </is>
      </c>
      <c r="B6" t="inlineStr">
        <is>
          <t>Revestimento Fatto Oliva AC</t>
        </is>
      </c>
      <c r="C6" t="inlineStr">
        <is>
          <t>Decortiles · SC 8068139</t>
        </is>
      </c>
      <c r="D6" t="inlineStr">
        <is>
          <t>30 × 90 cm</t>
        </is>
      </c>
      <c r="E6" t="inlineStr">
        <is>
          <t>A CONFIRMAR</t>
        </is>
      </c>
      <c r="F6" t="inlineStr">
        <is>
          <t>Acetinado (AC), V1</t>
        </is>
      </c>
      <c r="G6" t="inlineStr">
        <is>
          <t>A CONFIRMAR</t>
        </is>
      </c>
    </row>
    <row r="7">
      <c r="A7" t="inlineStr">
        <is>
          <t>RP06</t>
        </is>
      </c>
      <c r="B7" t="inlineStr">
        <is>
          <t>Travertino Rock Face</t>
        </is>
      </c>
      <c r="C7" t="inlineStr">
        <is>
          <t>Pedreira (compra à parte)</t>
        </is>
      </c>
      <c r="D7" t="inlineStr">
        <is>
          <t>A CONFIRMAR</t>
        </is>
      </c>
      <c r="E7" t="inlineStr">
        <is>
          <t>A CONFIRMAR</t>
        </is>
      </c>
      <c r="F7" t="inlineStr">
        <is>
          <t>Rock face (bruto)</t>
        </is>
      </c>
      <c r="G7" t="inlineStr">
        <is>
          <t>A CONFIRMAR</t>
        </is>
      </c>
    </row>
    <row r="8">
      <c r="A8" t="inlineStr">
        <is>
          <t>RP07</t>
        </is>
      </c>
      <c r="B8" t="inlineStr">
        <is>
          <t>Cerâmica simples — Eliane Forma Branco AC (fundo da marcenaria)</t>
        </is>
      </c>
      <c r="C8" t="inlineStr">
        <is>
          <t>Eliane · SC 8039383</t>
        </is>
      </c>
      <c r="D8" t="inlineStr">
        <is>
          <t>30 × 40 cm</t>
        </is>
      </c>
      <c r="E8" t="inlineStr">
        <is>
          <t>6,5 mm</t>
        </is>
      </c>
      <c r="F8" t="inlineStr">
        <is>
          <t>Acetinado, V1</t>
        </is>
      </c>
      <c r="G8" t="inlineStr">
        <is>
          <t>Junta 2 mm (fabricante) · cor A CONFIRMAR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2026-09-26T21:35:32Z</dcterms:created>
  <dcterms:modified xsi:type="dcterms:W3CDTF">2026-09-26T21:35:32Z</dcterms:modified>
</cp:coreProperties>
</file>