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sos" sheetId="1" state="visible" r:id="rId1"/>
    <sheet name="Rodapés - memória" sheetId="2" state="visible" r:id="rId2"/>
    <sheet name="Vãos" sheetId="3" state="visible" r:id="rId3"/>
    <sheet name="Transições" sheetId="4" state="visible" r:id="rId4"/>
    <sheet name="Soleiras" sheetId="5" state="visible" r:id="rId5"/>
    <sheet name="Produ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5E7C4"/>
    </font>
    <font>
      <b val="1"/>
      <color rgb="007A3423"/>
    </font>
    <font>
      <b val="1"/>
    </font>
  </fonts>
  <fills count="5">
    <fill>
      <patternFill/>
    </fill>
    <fill>
      <patternFill patternType="gray125"/>
    </fill>
    <fill>
      <patternFill patternType="solid">
        <fgColor rgb="003F422F"/>
      </patternFill>
    </fill>
    <fill>
      <patternFill patternType="solid">
        <fgColor rgb="00ECE4D4"/>
      </patternFill>
    </fill>
    <fill>
      <patternFill patternType="solid">
        <fgColor rgb="00F1EAD9"/>
      </patternFill>
    </fill>
  </fills>
  <borders count="2">
    <border>
      <left/>
      <right/>
      <top/>
      <bottom/>
      <diagonal/>
    </border>
    <border>
      <bottom style="thin">
        <color rgb="00D8CFB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2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2" fontId="3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34" customWidth="1" min="3" max="3"/>
    <col width="16" customWidth="1" min="4" max="4"/>
    <col width="16" customWidth="1" min="5" max="5"/>
    <col width="20" customWidth="1" min="6" max="6"/>
    <col width="20" customWidth="1" min="7" max="7"/>
    <col width="16" customWidth="1" min="8" max="8"/>
    <col width="18" customWidth="1" min="9" max="9"/>
    <col width="90" customWidth="1" min="10" max="10"/>
    <col width="30" customWidth="1" min="11" max="11"/>
  </cols>
  <sheetData>
    <row r="1">
      <c r="A1" s="1" t="inlineStr">
        <is>
          <t>Código</t>
        </is>
      </c>
      <c r="B1" s="1" t="inlineStr">
        <is>
          <t>Ambiente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Formato</t>
        </is>
      </c>
      <c r="F1" s="1" t="inlineStr">
        <is>
          <t>Acabamento</t>
        </is>
      </c>
      <c r="G1" s="1" t="inlineStr">
        <is>
          <t>Rejunte</t>
        </is>
      </c>
      <c r="H1" s="1" t="inlineStr">
        <is>
          <t>Área adotada (m²)</t>
        </is>
      </c>
      <c r="I1" s="1" t="inlineStr">
        <is>
          <t>Área geometria DWG (m²)</t>
        </is>
      </c>
      <c r="J1" s="1" t="inlineStr">
        <is>
          <t>Memória da medida</t>
        </is>
      </c>
      <c r="K1" s="1" t="inlineStr">
        <is>
          <t>Controle</t>
        </is>
      </c>
    </row>
    <row r="2">
      <c r="A2" s="2" t="inlineStr">
        <is>
          <t>P01</t>
        </is>
      </c>
      <c r="B2" s="2" t="inlineStr">
        <is>
          <t>PORCELANATO SANTORINI OFW NAT</t>
        </is>
      </c>
      <c r="C2" s="2" t="n"/>
      <c r="D2" s="2" t="n"/>
      <c r="E2" s="2" t="n"/>
      <c r="F2" s="2" t="n"/>
      <c r="G2" s="2" t="n"/>
      <c r="H2" s="3" t="n"/>
      <c r="I2" s="4" t="n"/>
      <c r="J2" s="2" t="n"/>
      <c r="K2" s="2" t="n"/>
    </row>
    <row r="3">
      <c r="A3" s="5" t="inlineStr">
        <is>
          <t>P01</t>
        </is>
      </c>
      <c r="B3" s="5" t="inlineStr">
        <is>
          <t>Quarto Casal + Closet Casal</t>
        </is>
      </c>
      <c r="C3" s="5" t="inlineStr">
        <is>
          <t>Porcelanato Santorini OFW NAT</t>
        </is>
      </c>
      <c r="D3" s="5" t="inlineStr">
        <is>
          <t>Portinari</t>
        </is>
      </c>
      <c r="E3" s="5" t="inlineStr">
        <is>
          <t>90 × 90 cm</t>
        </is>
      </c>
      <c r="F3" s="5" t="inlineStr">
        <is>
          <t>Natural (NAT)</t>
        </is>
      </c>
      <c r="G3" s="5" t="inlineStr">
        <is>
          <t>Corda · junta seca</t>
        </is>
      </c>
      <c r="H3" s="6" t="n">
        <v>28.7</v>
      </c>
      <c r="I3" s="7" t="n">
        <v>28.525</v>
      </c>
      <c r="J3" s="5" t="inlineStr">
        <is>
          <t>Rótulo DWG Prefeitura "SUÍTE MASTER A=28,70 m²" = valor informado; geometria DWG 16,28 + 12,25 = 28,53 (maior valor adotado)</t>
        </is>
      </c>
      <c r="K3" s="5" t="inlineStr">
        <is>
          <t>Arquivo + Informado</t>
        </is>
      </c>
    </row>
    <row r="4">
      <c r="A4" s="5" t="inlineStr">
        <is>
          <t>P01</t>
        </is>
      </c>
      <c r="B4" s="5" t="inlineStr">
        <is>
          <t>Banheiro Casal</t>
        </is>
      </c>
      <c r="C4" s="5" t="inlineStr">
        <is>
          <t>Porcelanato Santorini OFW NAT</t>
        </is>
      </c>
      <c r="D4" s="5" t="inlineStr">
        <is>
          <t>Portinari</t>
        </is>
      </c>
      <c r="E4" s="5" t="inlineStr">
        <is>
          <t>90 × 90 cm</t>
        </is>
      </c>
      <c r="F4" s="5" t="inlineStr">
        <is>
          <t>Natural (NAT)</t>
        </is>
      </c>
      <c r="G4" s="5" t="inlineStr">
        <is>
          <t>Corda · junta seca</t>
        </is>
      </c>
      <c r="H4" s="6" t="n">
        <v>6.83</v>
      </c>
      <c r="I4" s="7" t="n">
        <v>6.825</v>
      </c>
      <c r="J4" s="5" t="inlineStr">
        <is>
          <t>Geometria DWG 1,95 × 3,50 = 6,83 (rótulo planta de piso 6,83); informado/Prefeitura 6,30 (maior valor adotado)</t>
        </is>
      </c>
      <c r="K4" s="5" t="inlineStr">
        <is>
          <t>Arquivo</t>
        </is>
      </c>
    </row>
    <row r="5">
      <c r="A5" s="5" t="inlineStr">
        <is>
          <t>P01</t>
        </is>
      </c>
      <c r="B5" s="5" t="inlineStr">
        <is>
          <t>Quarto 01</t>
        </is>
      </c>
      <c r="C5" s="5" t="inlineStr">
        <is>
          <t>Porcelanato Santorini OFW NAT</t>
        </is>
      </c>
      <c r="D5" s="5" t="inlineStr">
        <is>
          <t>Portinari</t>
        </is>
      </c>
      <c r="E5" s="5" t="inlineStr">
        <is>
          <t>90 × 90 cm</t>
        </is>
      </c>
      <c r="F5" s="5" t="inlineStr">
        <is>
          <t>Natural (NAT)</t>
        </is>
      </c>
      <c r="G5" s="5" t="inlineStr">
        <is>
          <t>Corda · junta seca</t>
        </is>
      </c>
      <c r="H5" s="6" t="n">
        <v>12.3</v>
      </c>
      <c r="I5" s="7" t="n">
        <v>12.3</v>
      </c>
      <c r="J5" s="5" t="inlineStr">
        <is>
          <t>Geometria DWG 4,10 × 3,00 = rótulo 12,30 = informado</t>
        </is>
      </c>
      <c r="K5" s="5" t="inlineStr">
        <is>
          <t>Arquivo + Informado</t>
        </is>
      </c>
    </row>
    <row r="6">
      <c r="A6" s="5" t="inlineStr">
        <is>
          <t>P01</t>
        </is>
      </c>
      <c r="B6" s="5" t="inlineStr">
        <is>
          <t>WC 01</t>
        </is>
      </c>
      <c r="C6" s="5" t="inlineStr">
        <is>
          <t>Porcelanato Santorini OFW NAT</t>
        </is>
      </c>
      <c r="D6" s="5" t="inlineStr">
        <is>
          <t>Portinari</t>
        </is>
      </c>
      <c r="E6" s="5" t="inlineStr">
        <is>
          <t>90 × 90 cm</t>
        </is>
      </c>
      <c r="F6" s="5" t="inlineStr">
        <is>
          <t>Natural (NAT)</t>
        </is>
      </c>
      <c r="G6" s="5" t="inlineStr">
        <is>
          <t>Corda · junta seca</t>
        </is>
      </c>
      <c r="H6" s="6" t="n">
        <v>4.2</v>
      </c>
      <c r="I6" s="7" t="n">
        <v>4.2</v>
      </c>
      <c r="J6" s="5" t="inlineStr">
        <is>
          <t>Geometria DWG 2,80 × 1,50 = rótulo 4,20 = informado</t>
        </is>
      </c>
      <c r="K6" s="5" t="inlineStr">
        <is>
          <t>Arquivo + Informado</t>
        </is>
      </c>
    </row>
    <row r="7">
      <c r="A7" s="5" t="inlineStr">
        <is>
          <t>P01</t>
        </is>
      </c>
      <c r="B7" s="5" t="inlineStr">
        <is>
          <t>Quarto 02</t>
        </is>
      </c>
      <c r="C7" s="5" t="inlineStr">
        <is>
          <t>Porcelanato Santorini OFW NAT</t>
        </is>
      </c>
      <c r="D7" s="5" t="inlineStr">
        <is>
          <t>Portinari</t>
        </is>
      </c>
      <c r="E7" s="5" t="inlineStr">
        <is>
          <t>90 × 90 cm</t>
        </is>
      </c>
      <c r="F7" s="5" t="inlineStr">
        <is>
          <t>Natural (NAT)</t>
        </is>
      </c>
      <c r="G7" s="5" t="inlineStr">
        <is>
          <t>Corda · junta seca</t>
        </is>
      </c>
      <c r="H7" s="6" t="n">
        <v>12.3</v>
      </c>
      <c r="I7" s="7" t="n">
        <v>12.3</v>
      </c>
      <c r="J7" s="5" t="inlineStr">
        <is>
          <t>Geometria DWG 4,10 × 3,00 = rótulo 12,30 = informado</t>
        </is>
      </c>
      <c r="K7" s="5" t="inlineStr">
        <is>
          <t>Arquivo + Informado</t>
        </is>
      </c>
    </row>
    <row r="8">
      <c r="A8" s="5" t="inlineStr">
        <is>
          <t>P01</t>
        </is>
      </c>
      <c r="B8" s="5" t="inlineStr">
        <is>
          <t>WC 02</t>
        </is>
      </c>
      <c r="C8" s="5" t="inlineStr">
        <is>
          <t>Porcelanato Santorini OFW NAT</t>
        </is>
      </c>
      <c r="D8" s="5" t="inlineStr">
        <is>
          <t>Portinari</t>
        </is>
      </c>
      <c r="E8" s="5" t="inlineStr">
        <is>
          <t>90 × 90 cm</t>
        </is>
      </c>
      <c r="F8" s="5" t="inlineStr">
        <is>
          <t>Natural (NAT)</t>
        </is>
      </c>
      <c r="G8" s="5" t="inlineStr">
        <is>
          <t>Corda · junta seca</t>
        </is>
      </c>
      <c r="H8" s="6" t="n">
        <v>4.2</v>
      </c>
      <c r="I8" s="7" t="n">
        <v>4.2</v>
      </c>
      <c r="J8" s="5" t="inlineStr">
        <is>
          <t>Geometria DWG 2,80 × 1,50 = rótulo 4,20 = informado</t>
        </is>
      </c>
      <c r="K8" s="5" t="inlineStr">
        <is>
          <t>Arquivo + Informado</t>
        </is>
      </c>
    </row>
    <row r="9">
      <c r="A9" s="5" t="inlineStr">
        <is>
          <t>P01</t>
        </is>
      </c>
      <c r="B9" s="5" t="inlineStr">
        <is>
          <t>Escritório</t>
        </is>
      </c>
      <c r="C9" s="5" t="inlineStr">
        <is>
          <t>Porcelanato Santorini OFW NAT</t>
        </is>
      </c>
      <c r="D9" s="5" t="inlineStr">
        <is>
          <t>Portinari</t>
        </is>
      </c>
      <c r="E9" s="5" t="inlineStr">
        <is>
          <t>90 × 90 cm</t>
        </is>
      </c>
      <c r="F9" s="5" t="inlineStr">
        <is>
          <t>Natural (NAT)</t>
        </is>
      </c>
      <c r="G9" s="5" t="inlineStr">
        <is>
          <t>Corda · junta seca</t>
        </is>
      </c>
      <c r="H9" s="6" t="n">
        <v>7.26</v>
      </c>
      <c r="I9" s="7" t="n">
        <v>7.26</v>
      </c>
      <c r="J9" s="5" t="inlineStr">
        <is>
          <t>Geometria DWG 3,30 × 2,20 = rótulo 7,26 = informado</t>
        </is>
      </c>
      <c r="K9" s="5" t="inlineStr">
        <is>
          <t>Arquivo + Informado</t>
        </is>
      </c>
    </row>
    <row r="10">
      <c r="A10" s="5" t="inlineStr">
        <is>
          <t>P01</t>
        </is>
      </c>
      <c r="B10" s="5" t="inlineStr">
        <is>
          <t>Banheiro Externo</t>
        </is>
      </c>
      <c r="C10" s="5" t="inlineStr">
        <is>
          <t>Porcelanato Santorini OFW NAT</t>
        </is>
      </c>
      <c r="D10" s="5" t="inlineStr">
        <is>
          <t>Portinari</t>
        </is>
      </c>
      <c r="E10" s="5" t="inlineStr">
        <is>
          <t>90 × 90 cm</t>
        </is>
      </c>
      <c r="F10" s="5" t="inlineStr">
        <is>
          <t>Natural (NAT)</t>
        </is>
      </c>
      <c r="G10" s="5" t="inlineStr">
        <is>
          <t>Corda · junta seca</t>
        </is>
      </c>
      <c r="H10" s="6" t="n">
        <v>4.62</v>
      </c>
      <c r="I10" s="7" t="n">
        <v>4.62</v>
      </c>
      <c r="J10" s="5" t="inlineStr">
        <is>
          <t>Geometria DWG 3,30 × 1,40 = rótulo 4,62; informado/Prefeitura 4,27 (maior valor adotado)</t>
        </is>
      </c>
      <c r="K10" s="5" t="inlineStr">
        <is>
          <t>Arquivo</t>
        </is>
      </c>
    </row>
    <row r="11">
      <c r="A11" s="5" t="inlineStr">
        <is>
          <t>P01</t>
        </is>
      </c>
      <c r="B11" s="5" t="inlineStr">
        <is>
          <t>Circulação Interna (inclui nicho de marcenaria)</t>
        </is>
      </c>
      <c r="C11" s="5" t="inlineStr">
        <is>
          <t>Porcelanato Santorini OFW NAT</t>
        </is>
      </c>
      <c r="D11" s="5" t="inlineStr">
        <is>
          <t>Portinari</t>
        </is>
      </c>
      <c r="E11" s="5" t="inlineStr">
        <is>
          <t>90 × 90 cm</t>
        </is>
      </c>
      <c r="F11" s="5" t="inlineStr">
        <is>
          <t>Natural (NAT)</t>
        </is>
      </c>
      <c r="G11" s="5" t="inlineStr">
        <is>
          <t>Corda · junta seca</t>
        </is>
      </c>
      <c r="H11" s="6" t="n">
        <v>12.85</v>
      </c>
      <c r="I11" s="7" t="n">
        <v>12.285</v>
      </c>
      <c r="J11" s="5" t="inlineStr">
        <is>
          <t>Rótulo DWG planta de piso/forro "CIRCULAÇÃO 12,85 m²"; geometria 1,20 × 8,40 + nicho 0,70 × 3,15 = 12,29; informado 10,08 (maior valor adotado)</t>
        </is>
      </c>
      <c r="K11" s="5" t="inlineStr">
        <is>
          <t>Arquivo + Obra</t>
        </is>
      </c>
    </row>
    <row r="12">
      <c r="A12" s="5" t="inlineStr">
        <is>
          <t>P01</t>
        </is>
      </c>
      <c r="B12" s="5" t="inlineStr">
        <is>
          <t>Cozinha</t>
        </is>
      </c>
      <c r="C12" s="5" t="inlineStr">
        <is>
          <t>Porcelanato Santorini OFW NAT</t>
        </is>
      </c>
      <c r="D12" s="5" t="inlineStr">
        <is>
          <t>Portinari</t>
        </is>
      </c>
      <c r="E12" s="5" t="inlineStr">
        <is>
          <t>90 × 90 cm</t>
        </is>
      </c>
      <c r="F12" s="5" t="inlineStr">
        <is>
          <t>Natural (NAT)</t>
        </is>
      </c>
      <c r="G12" s="5" t="inlineStr">
        <is>
          <t>Corda · junta seca</t>
        </is>
      </c>
      <c r="H12" s="6" t="n">
        <v>17.85</v>
      </c>
      <c r="I12" s="7" t="n">
        <v>17.85</v>
      </c>
      <c r="J12" s="5" t="inlineStr">
        <is>
          <t>Geometria DWG 4,25 × 4,20 = rótulo 17,85 = informado</t>
        </is>
      </c>
      <c r="K12" s="5" t="inlineStr">
        <is>
          <t>Arquivo + Informado</t>
        </is>
      </c>
    </row>
    <row r="13">
      <c r="A13" s="5" t="inlineStr">
        <is>
          <t>P01</t>
        </is>
      </c>
      <c r="B13" s="5" t="inlineStr">
        <is>
          <t>Sala TV / Sala Jantar (integradas)</t>
        </is>
      </c>
      <c r="C13" s="5" t="inlineStr">
        <is>
          <t>Porcelanato Santorini OFW NAT</t>
        </is>
      </c>
      <c r="D13" s="5" t="inlineStr">
        <is>
          <t>Portinari</t>
        </is>
      </c>
      <c r="E13" s="5" t="inlineStr">
        <is>
          <t>90 × 90 cm</t>
        </is>
      </c>
      <c r="F13" s="5" t="inlineStr">
        <is>
          <t>Natural (NAT)</t>
        </is>
      </c>
      <c r="G13" s="5" t="inlineStr">
        <is>
          <t>Corda · junta seca</t>
        </is>
      </c>
      <c r="H13" s="6" t="n">
        <v>41.01</v>
      </c>
      <c r="I13" s="7" t="n">
        <v>41.01</v>
      </c>
      <c r="J13" s="5" t="inlineStr">
        <is>
          <t>Geometria DWG 5,25 × 8,00 − 1,65 × 0,60 = 41,01 = informado (Jantar 21,00 + Estar 20,01)</t>
        </is>
      </c>
      <c r="K13" s="5" t="inlineStr">
        <is>
          <t>Arquivo + Informado</t>
        </is>
      </c>
    </row>
    <row r="14">
      <c r="A14" s="5" t="inlineStr">
        <is>
          <t>P01</t>
        </is>
      </c>
      <c r="B14" s="5" t="inlineStr">
        <is>
          <t>Lavanderia</t>
        </is>
      </c>
      <c r="C14" s="5" t="inlineStr">
        <is>
          <t>Porcelanato Santorini OFW NAT</t>
        </is>
      </c>
      <c r="D14" s="5" t="inlineStr">
        <is>
          <t>Portinari</t>
        </is>
      </c>
      <c r="E14" s="5" t="inlineStr">
        <is>
          <t>90 × 90 cm</t>
        </is>
      </c>
      <c r="F14" s="5" t="inlineStr">
        <is>
          <t>Natural (NAT)</t>
        </is>
      </c>
      <c r="G14" s="5" t="inlineStr">
        <is>
          <t>Corda · junta seca</t>
        </is>
      </c>
      <c r="H14" s="6" t="n">
        <v>5.5</v>
      </c>
      <c r="I14" s="7" t="n">
        <v>5.5</v>
      </c>
      <c r="J14" s="5" t="inlineStr">
        <is>
          <t>Geometria DWG 2,75 × 2,00 = rótulo 5,50 = informado</t>
        </is>
      </c>
      <c r="K14" s="5" t="inlineStr">
        <is>
          <t>Arquivo + Informado</t>
        </is>
      </c>
    </row>
    <row r="15">
      <c r="A15" s="5" t="inlineStr">
        <is>
          <t>P01</t>
        </is>
      </c>
      <c r="B15" s="5" t="inlineStr">
        <is>
          <t>Depósito</t>
        </is>
      </c>
      <c r="C15" s="5" t="inlineStr">
        <is>
          <t>Porcelanato Santorini OFW NAT</t>
        </is>
      </c>
      <c r="D15" s="5" t="inlineStr">
        <is>
          <t>Portinari</t>
        </is>
      </c>
      <c r="E15" s="5" t="inlineStr">
        <is>
          <t>90 × 90 cm</t>
        </is>
      </c>
      <c r="F15" s="5" t="inlineStr">
        <is>
          <t>Natural (NAT)</t>
        </is>
      </c>
      <c r="G15" s="5" t="inlineStr">
        <is>
          <t>Corda · junta seca</t>
        </is>
      </c>
      <c r="H15" s="6" t="n">
        <v>2.4</v>
      </c>
      <c r="I15" s="7" t="n">
        <v>2.4</v>
      </c>
      <c r="J15" s="5" t="inlineStr">
        <is>
          <t>Geometria DWG 1,20 × 2,00 = rótulo 2,40 = informado</t>
        </is>
      </c>
      <c r="K15" s="5" t="inlineStr">
        <is>
          <t>Arquivo + Informado</t>
        </is>
      </c>
    </row>
    <row r="16">
      <c r="A16" s="5" t="inlineStr">
        <is>
          <t>P01</t>
        </is>
      </c>
      <c r="B16" s="5" t="inlineStr">
        <is>
          <t>Garagem</t>
        </is>
      </c>
      <c r="C16" s="5" t="inlineStr">
        <is>
          <t>Porcelanato Santorini OFW NAT</t>
        </is>
      </c>
      <c r="D16" s="5" t="inlineStr">
        <is>
          <t>Portinari</t>
        </is>
      </c>
      <c r="E16" s="5" t="inlineStr">
        <is>
          <t>90 × 90 cm</t>
        </is>
      </c>
      <c r="F16" s="5" t="inlineStr">
        <is>
          <t>Natural (NAT)</t>
        </is>
      </c>
      <c r="G16" s="5" t="inlineStr">
        <is>
          <t>Corda · junta seca</t>
        </is>
      </c>
      <c r="H16" s="6" t="n">
        <v>37.65</v>
      </c>
      <c r="I16" s="7" t="n">
        <v>37.65</v>
      </c>
      <c r="J16" s="5" t="inlineStr">
        <is>
          <t>Geometria DWG 7,40 × 5,10 − 0,15 × 0,60 = 37,65 (= rótulo planta de forro); informado/Prefeitura 36,97 (maior valor adotado)</t>
        </is>
      </c>
      <c r="K16" s="5" t="inlineStr">
        <is>
          <t>Arquivo</t>
        </is>
      </c>
    </row>
    <row r="17">
      <c r="A17" s="8" t="inlineStr"/>
      <c r="B17" s="8" t="inlineStr">
        <is>
          <t>Subtotal P01</t>
        </is>
      </c>
      <c r="C17" s="8" t="inlineStr"/>
      <c r="D17" s="8" t="inlineStr"/>
      <c r="E17" s="8" t="inlineStr"/>
      <c r="F17" s="8" t="inlineStr"/>
      <c r="G17" s="8" t="inlineStr"/>
      <c r="H17" s="9">
        <f>SUM(H3:H16)</f>
        <v/>
      </c>
      <c r="I17" s="10" t="n"/>
      <c r="J17" s="8" t="n"/>
      <c r="K17" s="8" t="n"/>
    </row>
    <row r="18">
      <c r="A18" s="2" t="inlineStr">
        <is>
          <t>P02</t>
        </is>
      </c>
      <c r="B18" s="2" t="inlineStr">
        <is>
          <t>PORCELANATO SANTORINI SGR HARD</t>
        </is>
      </c>
      <c r="C18" s="2" t="n"/>
      <c r="D18" s="2" t="n"/>
      <c r="E18" s="2" t="n"/>
      <c r="F18" s="2" t="n"/>
      <c r="G18" s="2" t="n"/>
      <c r="H18" s="3" t="n"/>
      <c r="I18" s="4" t="n"/>
      <c r="J18" s="2" t="n"/>
      <c r="K18" s="2" t="n"/>
    </row>
    <row r="19">
      <c r="A19" s="5" t="inlineStr">
        <is>
          <t>P02</t>
        </is>
      </c>
      <c r="B19" s="5" t="inlineStr">
        <is>
          <t>Varanda Gourmet</t>
        </is>
      </c>
      <c r="C19" s="5" t="inlineStr">
        <is>
          <t>Porcelanato Santorini SGR HARD</t>
        </is>
      </c>
      <c r="D19" s="5" t="inlineStr">
        <is>
          <t>Portinari</t>
        </is>
      </c>
      <c r="E19" s="5" t="inlineStr">
        <is>
          <t>90 × 90 cm</t>
        </is>
      </c>
      <c r="F19" s="5" t="inlineStr">
        <is>
          <t>HARD (antiderrapante)</t>
        </is>
      </c>
      <c r="G19" s="5" t="inlineStr">
        <is>
          <t>Corda · junta seca</t>
        </is>
      </c>
      <c r="H19" s="6" t="n">
        <v>18.32</v>
      </c>
      <c r="I19" s="7" t="n">
        <v>18.315</v>
      </c>
      <c r="J19" s="5" t="inlineStr">
        <is>
          <t>Contorno da hachura DWG 4,05 × 4,50 + 0,60 × 0,15 = 18,32; informado/Prefeitura 18,22 (maior valor adotado)</t>
        </is>
      </c>
      <c r="K19" s="5" t="inlineStr">
        <is>
          <t>Arquivo</t>
        </is>
      </c>
    </row>
    <row r="20">
      <c r="A20" s="5" t="inlineStr">
        <is>
          <t>P02</t>
        </is>
      </c>
      <c r="B20" s="5" t="inlineStr">
        <is>
          <t>Deck (inclui faixas sob beiral)</t>
        </is>
      </c>
      <c r="C20" s="5" t="inlineStr">
        <is>
          <t>Porcelanato Santorini SGR HARD</t>
        </is>
      </c>
      <c r="D20" s="5" t="inlineStr">
        <is>
          <t>Portinari</t>
        </is>
      </c>
      <c r="E20" s="5" t="inlineStr">
        <is>
          <t>90 × 90 cm</t>
        </is>
      </c>
      <c r="F20" s="5" t="inlineStr">
        <is>
          <t>HARD (antiderrapante)</t>
        </is>
      </c>
      <c r="G20" s="5" t="inlineStr">
        <is>
          <t>Corda · junta seca</t>
        </is>
      </c>
      <c r="H20" s="6" t="n">
        <v>77.69</v>
      </c>
      <c r="I20" s="7" t="n">
        <v>77.688</v>
      </c>
      <c r="J20" s="5" t="inlineStr">
        <is>
          <t>Hachura DWG 61,37 + giro P03 0,64 + faixas sob beiral 1,00 × 7,40 e 1,00 × 8,28 (beiral: DWG Prefeitura, "PROJEÇÃO DO BEIRAL")</t>
        </is>
      </c>
      <c r="K20" s="5" t="inlineStr">
        <is>
          <t>Arquivo + Informado + Obra</t>
        </is>
      </c>
    </row>
    <row r="21">
      <c r="A21" s="8" t="inlineStr"/>
      <c r="B21" s="8" t="inlineStr">
        <is>
          <t>Subtotal P02</t>
        </is>
      </c>
      <c r="C21" s="8" t="inlineStr"/>
      <c r="D21" s="8" t="inlineStr"/>
      <c r="E21" s="8" t="inlineStr"/>
      <c r="F21" s="8" t="inlineStr"/>
      <c r="G21" s="8" t="inlineStr"/>
      <c r="H21" s="9">
        <f>SUM(H19:H20)</f>
        <v/>
      </c>
      <c r="I21" s="10" t="n"/>
      <c r="J21" s="8" t="n"/>
      <c r="K21" s="8" t="n"/>
    </row>
    <row r="22">
      <c r="A22" s="2" t="inlineStr">
        <is>
          <t>PP01</t>
        </is>
      </c>
      <c r="B22" s="2" t="inlineStr">
        <is>
          <t>PEDRA PORTUGUESA BRANCA</t>
        </is>
      </c>
      <c r="C22" s="2" t="n"/>
      <c r="D22" s="2" t="n"/>
      <c r="E22" s="2" t="n"/>
      <c r="F22" s="2" t="n"/>
      <c r="G22" s="2" t="n"/>
      <c r="H22" s="3" t="n"/>
      <c r="I22" s="4" t="n"/>
      <c r="J22" s="2" t="n"/>
      <c r="K22" s="2" t="n"/>
    </row>
    <row r="23">
      <c r="A23" s="5" t="inlineStr">
        <is>
          <t>PP01</t>
        </is>
      </c>
      <c r="B23" s="5" t="inlineStr">
        <is>
          <t>Rampa de acesso à garagem</t>
        </is>
      </c>
      <c r="C23" s="5" t="inlineStr">
        <is>
          <t>Pedra portuguesa branca</t>
        </is>
      </c>
      <c r="D23" s="5" t="inlineStr">
        <is>
          <t>—</t>
        </is>
      </c>
      <c r="E23" s="5" t="inlineStr">
        <is>
          <t>A CONFIRMAR</t>
        </is>
      </c>
      <c r="F23" s="5" t="inlineStr">
        <is>
          <t>A CONFIRMAR</t>
        </is>
      </c>
      <c r="G23" s="5" t="inlineStr">
        <is>
          <t>A CONFIRMAR</t>
        </is>
      </c>
      <c r="H23" s="6" t="n">
        <v>37</v>
      </c>
      <c r="I23" s="7" t="n">
        <v>34.606</v>
      </c>
      <c r="J23" s="5" t="inlineStr">
        <is>
          <t>Informado: 7,40 × 5,00 com margem; geometria DWG com borda curva = 34,61 (maior valor adotado)</t>
        </is>
      </c>
      <c r="K23" s="5" t="inlineStr">
        <is>
          <t>Informado</t>
        </is>
      </c>
    </row>
    <row r="24">
      <c r="A24" s="5" t="inlineStr">
        <is>
          <t>PP01</t>
        </is>
      </c>
      <c r="B24" s="5" t="inlineStr">
        <is>
          <t>Acesso externo lateral (até P03)</t>
        </is>
      </c>
      <c r="C24" s="5" t="inlineStr">
        <is>
          <t>Pedra portuguesa branca</t>
        </is>
      </c>
      <c r="D24" s="5" t="inlineStr">
        <is>
          <t>—</t>
        </is>
      </c>
      <c r="E24" s="5" t="inlineStr">
        <is>
          <t>A CONFIRMAR</t>
        </is>
      </c>
      <c r="F24" s="5" t="inlineStr">
        <is>
          <t>A CONFIRMAR</t>
        </is>
      </c>
      <c r="G24" s="5" t="inlineStr">
        <is>
          <t>A CONFIRMAR</t>
        </is>
      </c>
      <c r="H24" s="6" t="n">
        <v>15.03</v>
      </c>
      <c r="I24" s="7" t="n">
        <v>15.027</v>
      </c>
      <c r="J24" s="5" t="inlineStr">
        <is>
          <t>Hachura GRASS do DWG (pedra portuguesa) fora da rampa e das áreas verdes</t>
        </is>
      </c>
      <c r="K24" s="5" t="inlineStr">
        <is>
          <t>Arquivo + Obra</t>
        </is>
      </c>
    </row>
    <row r="25">
      <c r="A25" s="5" t="inlineStr">
        <is>
          <t>PP01</t>
        </is>
      </c>
      <c r="B25" s="5" t="inlineStr">
        <is>
          <t>Calçada — faixas de acesso e livre (2,35 m)</t>
        </is>
      </c>
      <c r="C25" s="5" t="inlineStr">
        <is>
          <t>Pedra portuguesa branca</t>
        </is>
      </c>
      <c r="D25" s="5" t="inlineStr">
        <is>
          <t>—</t>
        </is>
      </c>
      <c r="E25" s="5" t="inlineStr">
        <is>
          <t>A CONFIRMAR</t>
        </is>
      </c>
      <c r="F25" s="5" t="inlineStr">
        <is>
          <t>A CONFIRMAR</t>
        </is>
      </c>
      <c r="G25" s="5" t="inlineStr">
        <is>
          <t>A CONFIRMAR</t>
        </is>
      </c>
      <c r="H25" s="6" t="n">
        <v>98.06999999999999</v>
      </c>
      <c r="I25" s="7" t="n">
        <v>98.068</v>
      </c>
      <c r="J25" s="5" t="inlineStr">
        <is>
          <t>Geometria DWG: divisa frontal 40,32 m × faixas 1,25 + 1,10; término na Av. 3 não fechado no DWG</t>
        </is>
      </c>
      <c r="K25" s="5" t="inlineStr">
        <is>
          <t>Arquivo + Obra</t>
        </is>
      </c>
    </row>
    <row r="26">
      <c r="A26" s="8" t="inlineStr"/>
      <c r="B26" s="8" t="inlineStr">
        <is>
          <t>Subtotal PP01</t>
        </is>
      </c>
      <c r="C26" s="8" t="inlineStr"/>
      <c r="D26" s="8" t="inlineStr"/>
      <c r="E26" s="8" t="inlineStr"/>
      <c r="F26" s="8" t="inlineStr"/>
      <c r="G26" s="8" t="inlineStr"/>
      <c r="H26" s="9">
        <f>SUM(H23:H25)</f>
        <v/>
      </c>
      <c r="I26" s="10" t="n"/>
      <c r="J26" s="8" t="n"/>
      <c r="K26" s="8" t="n"/>
    </row>
    <row r="27">
      <c r="A27" s="2" t="inlineStr">
        <is>
          <t>NE</t>
        </is>
      </c>
      <c r="B27" s="2" t="inlineStr">
        <is>
          <t>A DEFINIR — P02 OU PI01 (INTERTRAVADO DRENANTE)</t>
        </is>
      </c>
      <c r="C27" s="2" t="n"/>
      <c r="D27" s="2" t="n"/>
      <c r="E27" s="2" t="n"/>
      <c r="F27" s="2" t="n"/>
      <c r="G27" s="2" t="n"/>
      <c r="H27" s="3" t="n"/>
      <c r="I27" s="4" t="n"/>
      <c r="J27" s="2" t="n"/>
      <c r="K27" s="2" t="n"/>
    </row>
    <row r="28">
      <c r="A28" s="5" t="inlineStr">
        <is>
          <t>NE</t>
        </is>
      </c>
      <c r="B28" s="5" t="inlineStr">
        <is>
          <t>Corredor Lateral Externo</t>
        </is>
      </c>
      <c r="C28" s="5" t="inlineStr">
        <is>
          <t>A DEFINIR: P02 ou PI01</t>
        </is>
      </c>
      <c r="D28" s="5" t="inlineStr">
        <is>
          <t>Portinari / A CONFIRMAR</t>
        </is>
      </c>
      <c r="E28" s="5" t="inlineStr">
        <is>
          <t>90 × 90 cm ou A CONFIRMAR</t>
        </is>
      </c>
      <c r="F28" s="5" t="inlineStr">
        <is>
          <t>HARD ou drenante</t>
        </is>
      </c>
      <c r="G28" s="5" t="inlineStr">
        <is>
          <t>Corda ou A CONFIRMAR</t>
        </is>
      </c>
      <c r="H28" s="6" t="n">
        <v>23.93</v>
      </c>
      <c r="I28" s="7" t="n">
        <v>23.422</v>
      </c>
      <c r="J28" s="5" t="inlineStr">
        <is>
          <t>Informado: 1,50 × 15,95 (aprox.); contorno da hachura DWG = 23,42 (maior valor adotado)</t>
        </is>
      </c>
      <c r="K28" s="5" t="inlineStr">
        <is>
          <t>Informado + Obra</t>
        </is>
      </c>
    </row>
    <row r="29">
      <c r="A29" s="8" t="inlineStr"/>
      <c r="B29" s="8" t="inlineStr">
        <is>
          <t>Subtotal NE</t>
        </is>
      </c>
      <c r="C29" s="8" t="inlineStr"/>
      <c r="D29" s="8" t="inlineStr"/>
      <c r="E29" s="8" t="inlineStr"/>
      <c r="F29" s="8" t="inlineStr"/>
      <c r="G29" s="8" t="inlineStr"/>
      <c r="H29" s="9">
        <f>SUM(H28:H28)</f>
        <v/>
      </c>
      <c r="I29" s="10" t="n"/>
      <c r="J29" s="8" t="n"/>
      <c r="K29" s="8" t="n"/>
    </row>
    <row r="30">
      <c r="A30" s="11" t="inlineStr"/>
      <c r="B30" s="11" t="inlineStr">
        <is>
          <t>TOTAL GERAL (P01 + P02 + PP01 + a definir)</t>
        </is>
      </c>
      <c r="C30" s="11" t="inlineStr"/>
      <c r="D30" s="11" t="inlineStr"/>
      <c r="E30" s="11" t="inlineStr"/>
      <c r="F30" s="11" t="inlineStr"/>
      <c r="G30" s="11" t="inlineStr"/>
      <c r="H30" s="12">
        <f>H17+H21+H26+H29</f>
        <v/>
      </c>
      <c r="I30" s="13" t="n"/>
      <c r="J30" s="11" t="n"/>
      <c r="K30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8" customWidth="1" min="3" max="3"/>
    <col width="44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60" customWidth="1" min="10" max="10"/>
  </cols>
  <sheetData>
    <row r="1">
      <c r="A1" s="1" t="inlineStr">
        <is>
          <t>Código</t>
        </is>
      </c>
      <c r="B1" s="1" t="inlineStr">
        <is>
          <t>Ambiente</t>
        </is>
      </c>
      <c r="C1" s="1" t="inlineStr">
        <is>
          <t>Tipo</t>
        </is>
      </c>
      <c r="D1" s="1" t="inlineStr">
        <is>
          <t>Descrição</t>
        </is>
      </c>
      <c r="E1" s="1" t="inlineStr">
        <is>
          <t>X início</t>
        </is>
      </c>
      <c r="F1" s="1" t="inlineStr">
        <is>
          <t>Y início</t>
        </is>
      </c>
      <c r="G1" s="1" t="inlineStr">
        <is>
          <t>X fim</t>
        </is>
      </c>
      <c r="H1" s="1" t="inlineStr">
        <is>
          <t>Y fim</t>
        </is>
      </c>
      <c r="I1" s="1" t="inlineStr">
        <is>
          <t>Comprimento (m)</t>
        </is>
      </c>
      <c r="J1" s="1" t="inlineStr">
        <is>
          <t>Fonte / observação</t>
        </is>
      </c>
    </row>
    <row r="2">
      <c r="A2" s="2" t="inlineStr">
        <is>
          <t>R01</t>
        </is>
      </c>
      <c r="B2" s="2" t="inlineStr">
        <is>
          <t>RODAPÉ PORCELANATO SANTORINI OFW NAT — h = 8 cm</t>
        </is>
      </c>
      <c r="C2" s="2" t="n"/>
      <c r="D2" s="2" t="n"/>
      <c r="E2" s="4" t="n"/>
      <c r="F2" s="4" t="n"/>
      <c r="G2" s="4" t="n"/>
      <c r="H2" s="4" t="n"/>
      <c r="I2" s="4" t="n"/>
      <c r="J2" s="2" t="n"/>
    </row>
    <row r="3">
      <c r="A3" s="5" t="inlineStr">
        <is>
          <t>R01</t>
        </is>
      </c>
      <c r="B3" s="5" t="inlineStr">
        <is>
          <t>Quarto Casal</t>
        </is>
      </c>
      <c r="C3" s="5" t="inlineStr">
        <is>
          <t>trecho de parede</t>
        </is>
      </c>
      <c r="D3" s="5" t="inlineStr">
        <is>
          <t>inf.</t>
        </is>
      </c>
      <c r="E3" s="7" t="n">
        <v>9.941000000000001</v>
      </c>
      <c r="F3" s="7" t="n">
        <v>36.386</v>
      </c>
      <c r="G3" s="7" t="n">
        <v>14.591</v>
      </c>
      <c r="H3" s="7" t="n">
        <v>36.386</v>
      </c>
      <c r="I3" s="7" t="n">
        <v>4.65</v>
      </c>
      <c r="J3" s="5" t="inlineStr">
        <is>
          <t>geometria DWG (face interna)</t>
        </is>
      </c>
    </row>
    <row r="4">
      <c r="A4" s="5" t="inlineStr">
        <is>
          <t>R01</t>
        </is>
      </c>
      <c r="B4" s="5" t="inlineStr">
        <is>
          <t>Quarto Casal</t>
        </is>
      </c>
      <c r="C4" s="5" t="inlineStr">
        <is>
          <t>trecho de parede</t>
        </is>
      </c>
      <c r="D4" s="5" t="inlineStr">
        <is>
          <t>dir.</t>
        </is>
      </c>
      <c r="E4" s="7" t="n">
        <v>14.591</v>
      </c>
      <c r="F4" s="7" t="n">
        <v>36.386</v>
      </c>
      <c r="G4" s="7" t="n">
        <v>14.591</v>
      </c>
      <c r="H4" s="7" t="n">
        <v>39.886</v>
      </c>
      <c r="I4" s="7" t="n">
        <v>3.5</v>
      </c>
      <c r="J4" s="5" t="inlineStr">
        <is>
          <t>geometria DWG (face interna)</t>
        </is>
      </c>
    </row>
    <row r="5">
      <c r="A5" s="5" t="inlineStr">
        <is>
          <t>R01</t>
        </is>
      </c>
      <c r="B5" s="5" t="inlineStr">
        <is>
          <t>Quarto Casal</t>
        </is>
      </c>
      <c r="C5" s="5" t="inlineStr">
        <is>
          <t>trecho de parede</t>
        </is>
      </c>
      <c r="D5" s="5" t="inlineStr">
        <is>
          <t>sup.</t>
        </is>
      </c>
      <c r="E5" s="7" t="n">
        <v>14.591</v>
      </c>
      <c r="F5" s="7" t="n">
        <v>39.886</v>
      </c>
      <c r="G5" s="7" t="n">
        <v>9.941000000000001</v>
      </c>
      <c r="H5" s="7" t="n">
        <v>39.886</v>
      </c>
      <c r="I5" s="7" t="n">
        <v>4.65</v>
      </c>
      <c r="J5" s="5" t="inlineStr">
        <is>
          <t>geometria DWG (face interna)</t>
        </is>
      </c>
    </row>
    <row r="6">
      <c r="A6" s="5" t="inlineStr">
        <is>
          <t>R01</t>
        </is>
      </c>
      <c r="B6" s="5" t="inlineStr">
        <is>
          <t>Quarto Casal</t>
        </is>
      </c>
      <c r="C6" s="5" t="inlineStr">
        <is>
          <t>trecho de parede</t>
        </is>
      </c>
      <c r="D6" s="5" t="inlineStr">
        <is>
          <t>esq.</t>
        </is>
      </c>
      <c r="E6" s="7" t="n">
        <v>9.941000000000001</v>
      </c>
      <c r="F6" s="7" t="n">
        <v>39.886</v>
      </c>
      <c r="G6" s="7" t="n">
        <v>9.941000000000001</v>
      </c>
      <c r="H6" s="7" t="n">
        <v>36.386</v>
      </c>
      <c r="I6" s="7" t="n">
        <v>3.5</v>
      </c>
      <c r="J6" s="5" t="inlineStr">
        <is>
          <t>geometria DWG (face interna)</t>
        </is>
      </c>
    </row>
    <row r="7">
      <c r="A7" s="5" t="inlineStr">
        <is>
          <t>R01</t>
        </is>
      </c>
      <c r="B7" s="5" t="inlineStr">
        <is>
          <t>Quarto Casal</t>
        </is>
      </c>
      <c r="C7" s="5" t="inlineStr">
        <is>
          <t>soma dos trechos</t>
        </is>
      </c>
      <c r="D7" s="5" t="inlineStr"/>
      <c r="E7" s="7" t="inlineStr"/>
      <c r="F7" s="7" t="inlineStr"/>
      <c r="G7" s="7" t="inlineStr"/>
      <c r="H7" s="7" t="inlineStr"/>
      <c r="I7" s="7">
        <f>SUM(I3:I6)</f>
        <v/>
      </c>
      <c r="J7" s="5" t="n"/>
    </row>
    <row r="8">
      <c r="A8" s="5" t="inlineStr">
        <is>
          <t>R01</t>
        </is>
      </c>
      <c r="B8" s="5" t="inlineStr">
        <is>
          <t>Quarto Casal</t>
        </is>
      </c>
      <c r="C8" s="5" t="inlineStr">
        <is>
          <t>vão descontado</t>
        </is>
      </c>
      <c r="D8" s="5" t="inlineStr">
        <is>
          <t>P06 — Circulação / Quarto Casal (trecho inf.)</t>
        </is>
      </c>
      <c r="E8" s="7" t="n">
        <v>10.091</v>
      </c>
      <c r="F8" s="7" t="n">
        <v>36.311</v>
      </c>
      <c r="G8" s="7" t="n">
        <v>10.991</v>
      </c>
      <c r="H8" s="7" t="n">
        <v>36.311</v>
      </c>
      <c r="I8" s="7" t="n">
        <v>0.9</v>
      </c>
      <c r="J8" s="5" t="inlineStr">
        <is>
          <t>bloco de porta</t>
        </is>
      </c>
    </row>
    <row r="9">
      <c r="A9" s="5" t="inlineStr">
        <is>
          <t>R01</t>
        </is>
      </c>
      <c r="B9" s="5" t="inlineStr">
        <is>
          <t>Quarto Casal</t>
        </is>
      </c>
      <c r="C9" s="5" t="inlineStr">
        <is>
          <t>vão descontado</t>
        </is>
      </c>
      <c r="D9" s="5" t="inlineStr">
        <is>
          <t>P10 — Quarto Casal / Deck (trecho dir.)</t>
        </is>
      </c>
      <c r="E9" s="7" t="n">
        <v>14.666</v>
      </c>
      <c r="F9" s="7" t="n">
        <v>36.711</v>
      </c>
      <c r="G9" s="7" t="n">
        <v>14.666</v>
      </c>
      <c r="H9" s="7" t="n">
        <v>39.411</v>
      </c>
      <c r="I9" s="7" t="n">
        <v>2.7</v>
      </c>
      <c r="J9" s="5" t="inlineStr">
        <is>
          <t>caixilho DWG (4 × 0,675)</t>
        </is>
      </c>
    </row>
    <row r="10">
      <c r="A10" s="5" t="inlineStr">
        <is>
          <t>R01</t>
        </is>
      </c>
      <c r="B10" s="5" t="inlineStr">
        <is>
          <t>Quarto Casal</t>
        </is>
      </c>
      <c r="C10" s="5" t="inlineStr">
        <is>
          <t>vão descontado</t>
        </is>
      </c>
      <c r="D10" s="5" t="inlineStr">
        <is>
          <t>P08 — Quarto Casal / Closet Casal (trecho esq.)</t>
        </is>
      </c>
      <c r="E10" s="7" t="n">
        <v>9.866</v>
      </c>
      <c r="F10" s="7" t="n">
        <v>37.636</v>
      </c>
      <c r="G10" s="7" t="n">
        <v>9.866</v>
      </c>
      <c r="H10" s="7" t="n">
        <v>38.536</v>
      </c>
      <c r="I10" s="7" t="n">
        <v>0.9</v>
      </c>
      <c r="J10" s="5" t="inlineStr">
        <is>
          <t>soleira DWG</t>
        </is>
      </c>
    </row>
    <row r="11">
      <c r="A11" s="11" t="inlineStr">
        <is>
          <t>R01</t>
        </is>
      </c>
      <c r="B11" s="11" t="inlineStr">
        <is>
          <t>Quarto Casal</t>
        </is>
      </c>
      <c r="C11" s="11" t="inlineStr">
        <is>
          <t>LÍQUIDO</t>
        </is>
      </c>
      <c r="D11" s="11" t="inlineStr">
        <is>
          <t>soma dos trechos − vãos</t>
        </is>
      </c>
      <c r="E11" s="13" t="inlineStr"/>
      <c r="F11" s="13" t="inlineStr"/>
      <c r="G11" s="13" t="inlineStr"/>
      <c r="H11" s="13" t="inlineStr"/>
      <c r="I11" s="13">
        <f>I7-SUM(I8:I10)</f>
        <v/>
      </c>
      <c r="J11" s="11" t="inlineStr"/>
    </row>
    <row r="12">
      <c r="A12" s="5" t="inlineStr">
        <is>
          <t>R01</t>
        </is>
      </c>
      <c r="B12" s="5" t="inlineStr">
        <is>
          <t>Closet Casal</t>
        </is>
      </c>
      <c r="C12" s="5" t="inlineStr">
        <is>
          <t>trecho de parede</t>
        </is>
      </c>
      <c r="D12" s="5" t="inlineStr">
        <is>
          <t>inf.</t>
        </is>
      </c>
      <c r="E12" s="7" t="n">
        <v>6.291</v>
      </c>
      <c r="F12" s="7" t="n">
        <v>36.386</v>
      </c>
      <c r="G12" s="7" t="n">
        <v>9.791</v>
      </c>
      <c r="H12" s="7" t="n">
        <v>36.386</v>
      </c>
      <c r="I12" s="7" t="n">
        <v>3.5</v>
      </c>
      <c r="J12" s="5" t="inlineStr">
        <is>
          <t>geometria DWG (face interna)</t>
        </is>
      </c>
    </row>
    <row r="13">
      <c r="A13" s="5" t="inlineStr">
        <is>
          <t>R01</t>
        </is>
      </c>
      <c r="B13" s="5" t="inlineStr">
        <is>
          <t>Closet Casal</t>
        </is>
      </c>
      <c r="C13" s="5" t="inlineStr">
        <is>
          <t>trecho de parede</t>
        </is>
      </c>
      <c r="D13" s="5" t="inlineStr">
        <is>
          <t>dir.</t>
        </is>
      </c>
      <c r="E13" s="7" t="n">
        <v>9.791</v>
      </c>
      <c r="F13" s="7" t="n">
        <v>36.386</v>
      </c>
      <c r="G13" s="7" t="n">
        <v>9.791</v>
      </c>
      <c r="H13" s="7" t="n">
        <v>39.886</v>
      </c>
      <c r="I13" s="7" t="n">
        <v>3.5</v>
      </c>
      <c r="J13" s="5" t="inlineStr">
        <is>
          <t>geometria DWG (face interna)</t>
        </is>
      </c>
    </row>
    <row r="14">
      <c r="A14" s="5" t="inlineStr">
        <is>
          <t>R01</t>
        </is>
      </c>
      <c r="B14" s="5" t="inlineStr">
        <is>
          <t>Closet Casal</t>
        </is>
      </c>
      <c r="C14" s="5" t="inlineStr">
        <is>
          <t>trecho de parede</t>
        </is>
      </c>
      <c r="D14" s="5" t="inlineStr">
        <is>
          <t>sup.</t>
        </is>
      </c>
      <c r="E14" s="7" t="n">
        <v>9.791</v>
      </c>
      <c r="F14" s="7" t="n">
        <v>39.886</v>
      </c>
      <c r="G14" s="7" t="n">
        <v>6.291</v>
      </c>
      <c r="H14" s="7" t="n">
        <v>39.886</v>
      </c>
      <c r="I14" s="7" t="n">
        <v>3.5</v>
      </c>
      <c r="J14" s="5" t="inlineStr">
        <is>
          <t>geometria DWG (face interna)</t>
        </is>
      </c>
    </row>
    <row r="15">
      <c r="A15" s="5" t="inlineStr">
        <is>
          <t>R01</t>
        </is>
      </c>
      <c r="B15" s="5" t="inlineStr">
        <is>
          <t>Closet Casal</t>
        </is>
      </c>
      <c r="C15" s="5" t="inlineStr">
        <is>
          <t>trecho de parede</t>
        </is>
      </c>
      <c r="D15" s="5" t="inlineStr">
        <is>
          <t>esq.</t>
        </is>
      </c>
      <c r="E15" s="7" t="n">
        <v>6.291</v>
      </c>
      <c r="F15" s="7" t="n">
        <v>39.886</v>
      </c>
      <c r="G15" s="7" t="n">
        <v>6.291</v>
      </c>
      <c r="H15" s="7" t="n">
        <v>36.386</v>
      </c>
      <c r="I15" s="7" t="n">
        <v>3.5</v>
      </c>
      <c r="J15" s="5" t="inlineStr">
        <is>
          <t>geometria DWG (face interna)</t>
        </is>
      </c>
    </row>
    <row r="16">
      <c r="A16" s="5" t="inlineStr">
        <is>
          <t>R01</t>
        </is>
      </c>
      <c r="B16" s="5" t="inlineStr">
        <is>
          <t>Closet Casal</t>
        </is>
      </c>
      <c r="C16" s="5" t="inlineStr">
        <is>
          <t>soma dos trechos</t>
        </is>
      </c>
      <c r="D16" s="5" t="inlineStr"/>
      <c r="E16" s="7" t="inlineStr"/>
      <c r="F16" s="7" t="inlineStr"/>
      <c r="G16" s="7" t="inlineStr"/>
      <c r="H16" s="7" t="inlineStr"/>
      <c r="I16" s="7">
        <f>SUM(I12:I15)</f>
        <v/>
      </c>
      <c r="J16" s="5" t="n"/>
    </row>
    <row r="17">
      <c r="A17" s="5" t="inlineStr">
        <is>
          <t>R01</t>
        </is>
      </c>
      <c r="B17" s="5" t="inlineStr">
        <is>
          <t>Closet Casal</t>
        </is>
      </c>
      <c r="C17" s="5" t="inlineStr">
        <is>
          <t>vão descontado</t>
        </is>
      </c>
      <c r="D17" s="5" t="inlineStr">
        <is>
          <t>P08 — Quarto Casal / Closet Casal (trecho dir.)</t>
        </is>
      </c>
      <c r="E17" s="7" t="n">
        <v>9.866</v>
      </c>
      <c r="F17" s="7" t="n">
        <v>37.636</v>
      </c>
      <c r="G17" s="7" t="n">
        <v>9.866</v>
      </c>
      <c r="H17" s="7" t="n">
        <v>38.536</v>
      </c>
      <c r="I17" s="7" t="n">
        <v>0.9</v>
      </c>
      <c r="J17" s="5" t="inlineStr">
        <is>
          <t>soleira DWG</t>
        </is>
      </c>
    </row>
    <row r="18">
      <c r="A18" s="5" t="inlineStr">
        <is>
          <t>R01</t>
        </is>
      </c>
      <c r="B18" s="5" t="inlineStr">
        <is>
          <t>Closet Casal</t>
        </is>
      </c>
      <c r="C18" s="5" t="inlineStr">
        <is>
          <t>vão descontado</t>
        </is>
      </c>
      <c r="D18" s="5" t="inlineStr">
        <is>
          <t>P09 — Closet Casal / Banheiro Casal (trecho esq.)</t>
        </is>
      </c>
      <c r="E18" s="7" t="n">
        <v>6.216</v>
      </c>
      <c r="F18" s="7" t="n">
        <v>37.636</v>
      </c>
      <c r="G18" s="7" t="n">
        <v>6.216</v>
      </c>
      <c r="H18" s="7" t="n">
        <v>38.536</v>
      </c>
      <c r="I18" s="7" t="n">
        <v>0.9</v>
      </c>
      <c r="J18" s="5" t="inlineStr">
        <is>
          <t>interrupção de parede</t>
        </is>
      </c>
    </row>
    <row r="19">
      <c r="A19" s="11" t="inlineStr">
        <is>
          <t>R01</t>
        </is>
      </c>
      <c r="B19" s="11" t="inlineStr">
        <is>
          <t>Closet Casal</t>
        </is>
      </c>
      <c r="C19" s="11" t="inlineStr">
        <is>
          <t>LÍQUIDO</t>
        </is>
      </c>
      <c r="D19" s="11" t="inlineStr">
        <is>
          <t>soma dos trechos − vãos</t>
        </is>
      </c>
      <c r="E19" s="13" t="inlineStr"/>
      <c r="F19" s="13" t="inlineStr"/>
      <c r="G19" s="13" t="inlineStr"/>
      <c r="H19" s="13" t="inlineStr"/>
      <c r="I19" s="13">
        <f>I16-SUM(I17:I18)</f>
        <v/>
      </c>
      <c r="J19" s="11" t="inlineStr">
        <is>
          <t>Trechos atrás de marcenaria: conferir com o projeto de marcenaria</t>
        </is>
      </c>
    </row>
    <row r="20">
      <c r="A20" s="5" t="inlineStr">
        <is>
          <t>R01</t>
        </is>
      </c>
      <c r="B20" s="5" t="inlineStr">
        <is>
          <t>Banheiro Casal</t>
        </is>
      </c>
      <c r="C20" s="5" t="inlineStr">
        <is>
          <t>trecho de parede</t>
        </is>
      </c>
      <c r="D20" s="5" t="inlineStr">
        <is>
          <t>inf.</t>
        </is>
      </c>
      <c r="E20" s="7" t="n">
        <v>4.191</v>
      </c>
      <c r="F20" s="7" t="n">
        <v>36.386</v>
      </c>
      <c r="G20" s="7" t="n">
        <v>6.141</v>
      </c>
      <c r="H20" s="7" t="n">
        <v>36.386</v>
      </c>
      <c r="I20" s="7" t="n">
        <v>1.95</v>
      </c>
      <c r="J20" s="5" t="inlineStr">
        <is>
          <t>geometria DWG (face interna)</t>
        </is>
      </c>
    </row>
    <row r="21">
      <c r="A21" s="5" t="inlineStr">
        <is>
          <t>R01</t>
        </is>
      </c>
      <c r="B21" s="5" t="inlineStr">
        <is>
          <t>Banheiro Casal</t>
        </is>
      </c>
      <c r="C21" s="5" t="inlineStr">
        <is>
          <t>trecho de parede</t>
        </is>
      </c>
      <c r="D21" s="5" t="inlineStr">
        <is>
          <t>dir.</t>
        </is>
      </c>
      <c r="E21" s="7" t="n">
        <v>6.141</v>
      </c>
      <c r="F21" s="7" t="n">
        <v>36.386</v>
      </c>
      <c r="G21" s="7" t="n">
        <v>6.141</v>
      </c>
      <c r="H21" s="7" t="n">
        <v>39.886</v>
      </c>
      <c r="I21" s="7" t="n">
        <v>3.5</v>
      </c>
      <c r="J21" s="5" t="inlineStr">
        <is>
          <t>geometria DWG (face interna)</t>
        </is>
      </c>
    </row>
    <row r="22">
      <c r="A22" s="5" t="inlineStr">
        <is>
          <t>R01</t>
        </is>
      </c>
      <c r="B22" s="5" t="inlineStr">
        <is>
          <t>Banheiro Casal</t>
        </is>
      </c>
      <c r="C22" s="5" t="inlineStr">
        <is>
          <t>trecho de parede</t>
        </is>
      </c>
      <c r="D22" s="5" t="inlineStr">
        <is>
          <t>sup.</t>
        </is>
      </c>
      <c r="E22" s="7" t="n">
        <v>6.141</v>
      </c>
      <c r="F22" s="7" t="n">
        <v>39.886</v>
      </c>
      <c r="G22" s="7" t="n">
        <v>4.191</v>
      </c>
      <c r="H22" s="7" t="n">
        <v>39.886</v>
      </c>
      <c r="I22" s="7" t="n">
        <v>1.95</v>
      </c>
      <c r="J22" s="5" t="inlineStr">
        <is>
          <t>geometria DWG (face interna)</t>
        </is>
      </c>
    </row>
    <row r="23">
      <c r="A23" s="5" t="inlineStr">
        <is>
          <t>R01</t>
        </is>
      </c>
      <c r="B23" s="5" t="inlineStr">
        <is>
          <t>Banheiro Casal</t>
        </is>
      </c>
      <c r="C23" s="5" t="inlineStr">
        <is>
          <t>trecho de parede</t>
        </is>
      </c>
      <c r="D23" s="5" t="inlineStr">
        <is>
          <t>esq.</t>
        </is>
      </c>
      <c r="E23" s="7" t="n">
        <v>4.191</v>
      </c>
      <c r="F23" s="7" t="n">
        <v>39.886</v>
      </c>
      <c r="G23" s="7" t="n">
        <v>4.191</v>
      </c>
      <c r="H23" s="7" t="n">
        <v>36.386</v>
      </c>
      <c r="I23" s="7" t="n">
        <v>3.5</v>
      </c>
      <c r="J23" s="5" t="inlineStr">
        <is>
          <t>geometria DWG (face interna)</t>
        </is>
      </c>
    </row>
    <row r="24">
      <c r="A24" s="5" t="inlineStr">
        <is>
          <t>R01</t>
        </is>
      </c>
      <c r="B24" s="5" t="inlineStr">
        <is>
          <t>Banheiro Casal</t>
        </is>
      </c>
      <c r="C24" s="5" t="inlineStr">
        <is>
          <t>soma dos trechos</t>
        </is>
      </c>
      <c r="D24" s="5" t="inlineStr"/>
      <c r="E24" s="7" t="inlineStr"/>
      <c r="F24" s="7" t="inlineStr"/>
      <c r="G24" s="7" t="inlineStr"/>
      <c r="H24" s="7" t="inlineStr"/>
      <c r="I24" s="7">
        <f>SUM(I20:I23)</f>
        <v/>
      </c>
      <c r="J24" s="5" t="n"/>
    </row>
    <row r="25">
      <c r="A25" s="5" t="inlineStr">
        <is>
          <t>R01</t>
        </is>
      </c>
      <c r="B25" s="5" t="inlineStr">
        <is>
          <t>Banheiro Casal</t>
        </is>
      </c>
      <c r="C25" s="5" t="inlineStr">
        <is>
          <t>vão descontado</t>
        </is>
      </c>
      <c r="D25" s="5" t="inlineStr">
        <is>
          <t>P09 — Closet Casal / Banheiro Casal (trecho dir.)</t>
        </is>
      </c>
      <c r="E25" s="7" t="n">
        <v>6.216</v>
      </c>
      <c r="F25" s="7" t="n">
        <v>37.636</v>
      </c>
      <c r="G25" s="7" t="n">
        <v>6.216</v>
      </c>
      <c r="H25" s="7" t="n">
        <v>38.536</v>
      </c>
      <c r="I25" s="7" t="n">
        <v>0.9</v>
      </c>
      <c r="J25" s="5" t="inlineStr">
        <is>
          <t>interrupção de parede</t>
        </is>
      </c>
    </row>
    <row r="26">
      <c r="A26" s="11" t="inlineStr">
        <is>
          <t>R01</t>
        </is>
      </c>
      <c r="B26" s="11" t="inlineStr">
        <is>
          <t>Banheiro Casal</t>
        </is>
      </c>
      <c r="C26" s="11" t="inlineStr">
        <is>
          <t>LÍQUIDO</t>
        </is>
      </c>
      <c r="D26" s="11" t="inlineStr">
        <is>
          <t>soma dos trechos − vãos</t>
        </is>
      </c>
      <c r="E26" s="13" t="inlineStr"/>
      <c r="F26" s="13" t="inlineStr"/>
      <c r="G26" s="13" t="inlineStr"/>
      <c r="H26" s="13" t="inlineStr"/>
      <c r="I26" s="13">
        <f>I24-SUM(I25:I25)</f>
        <v/>
      </c>
      <c r="J26" s="11" t="inlineStr"/>
    </row>
    <row r="27">
      <c r="A27" s="5" t="inlineStr">
        <is>
          <t>R01</t>
        </is>
      </c>
      <c r="B27" s="5" t="inlineStr">
        <is>
          <t>Quarto 02</t>
        </is>
      </c>
      <c r="C27" s="5" t="inlineStr">
        <is>
          <t>trecho de parede</t>
        </is>
      </c>
      <c r="D27" s="5" t="inlineStr">
        <is>
          <t>inf.</t>
        </is>
      </c>
      <c r="E27" s="7" t="n">
        <v>5.691</v>
      </c>
      <c r="F27" s="7" t="n">
        <v>33.236</v>
      </c>
      <c r="G27" s="7" t="n">
        <v>9.791</v>
      </c>
      <c r="H27" s="7" t="n">
        <v>33.236</v>
      </c>
      <c r="I27" s="7" t="n">
        <v>4.1</v>
      </c>
      <c r="J27" s="5" t="inlineStr">
        <is>
          <t>geometria DWG (face interna)</t>
        </is>
      </c>
    </row>
    <row r="28">
      <c r="A28" s="5" t="inlineStr">
        <is>
          <t>R01</t>
        </is>
      </c>
      <c r="B28" s="5" t="inlineStr">
        <is>
          <t>Quarto 02</t>
        </is>
      </c>
      <c r="C28" s="5" t="inlineStr">
        <is>
          <t>trecho de parede</t>
        </is>
      </c>
      <c r="D28" s="5" t="inlineStr">
        <is>
          <t>dir.</t>
        </is>
      </c>
      <c r="E28" s="7" t="n">
        <v>9.791</v>
      </c>
      <c r="F28" s="7" t="n">
        <v>33.236</v>
      </c>
      <c r="G28" s="7" t="n">
        <v>9.791</v>
      </c>
      <c r="H28" s="7" t="n">
        <v>36.236</v>
      </c>
      <c r="I28" s="7" t="n">
        <v>3</v>
      </c>
      <c r="J28" s="5" t="inlineStr">
        <is>
          <t>geometria DWG (face interna)</t>
        </is>
      </c>
    </row>
    <row r="29">
      <c r="A29" s="5" t="inlineStr">
        <is>
          <t>R01</t>
        </is>
      </c>
      <c r="B29" s="5" t="inlineStr">
        <is>
          <t>Quarto 02</t>
        </is>
      </c>
      <c r="C29" s="5" t="inlineStr">
        <is>
          <t>trecho de parede</t>
        </is>
      </c>
      <c r="D29" s="5" t="inlineStr">
        <is>
          <t>sup.</t>
        </is>
      </c>
      <c r="E29" s="7" t="n">
        <v>9.791</v>
      </c>
      <c r="F29" s="7" t="n">
        <v>36.236</v>
      </c>
      <c r="G29" s="7" t="n">
        <v>5.691</v>
      </c>
      <c r="H29" s="7" t="n">
        <v>36.236</v>
      </c>
      <c r="I29" s="7" t="n">
        <v>4.1</v>
      </c>
      <c r="J29" s="5" t="inlineStr">
        <is>
          <t>geometria DWG (face interna)</t>
        </is>
      </c>
    </row>
    <row r="30">
      <c r="A30" s="5" t="inlineStr">
        <is>
          <t>R01</t>
        </is>
      </c>
      <c r="B30" s="5" t="inlineStr">
        <is>
          <t>Quarto 02</t>
        </is>
      </c>
      <c r="C30" s="5" t="inlineStr">
        <is>
          <t>trecho de parede</t>
        </is>
      </c>
      <c r="D30" s="5" t="inlineStr">
        <is>
          <t>esq.</t>
        </is>
      </c>
      <c r="E30" s="7" t="n">
        <v>5.691</v>
      </c>
      <c r="F30" s="7" t="n">
        <v>36.236</v>
      </c>
      <c r="G30" s="7" t="n">
        <v>5.691</v>
      </c>
      <c r="H30" s="7" t="n">
        <v>33.236</v>
      </c>
      <c r="I30" s="7" t="n">
        <v>3</v>
      </c>
      <c r="J30" s="5" t="inlineStr">
        <is>
          <t>geometria DWG (face interna)</t>
        </is>
      </c>
    </row>
    <row r="31">
      <c r="A31" s="5" t="inlineStr">
        <is>
          <t>R01</t>
        </is>
      </c>
      <c r="B31" s="5" t="inlineStr">
        <is>
          <t>Quarto 02</t>
        </is>
      </c>
      <c r="C31" s="5" t="inlineStr">
        <is>
          <t>soma dos trechos</t>
        </is>
      </c>
      <c r="D31" s="5" t="inlineStr"/>
      <c r="E31" s="7" t="inlineStr"/>
      <c r="F31" s="7" t="inlineStr"/>
      <c r="G31" s="7" t="inlineStr"/>
      <c r="H31" s="7" t="inlineStr"/>
      <c r="I31" s="7">
        <f>SUM(I27:I30)</f>
        <v/>
      </c>
      <c r="J31" s="5" t="n"/>
    </row>
    <row r="32">
      <c r="A32" s="5" t="inlineStr">
        <is>
          <t>R01</t>
        </is>
      </c>
      <c r="B32" s="5" t="inlineStr">
        <is>
          <t>Quarto 02</t>
        </is>
      </c>
      <c r="C32" s="5" t="inlineStr">
        <is>
          <t>vão descontado</t>
        </is>
      </c>
      <c r="D32" s="5" t="inlineStr">
        <is>
          <t>P06 — Quarto 02 / WC 02 (trecho inf.)</t>
        </is>
      </c>
      <c r="E32" s="7" t="n">
        <v>8.191000000000001</v>
      </c>
      <c r="F32" s="7" t="n">
        <v>33.161</v>
      </c>
      <c r="G32" s="7" t="n">
        <v>8.991</v>
      </c>
      <c r="H32" s="7" t="n">
        <v>33.161</v>
      </c>
      <c r="I32" s="7" t="n">
        <v>0.8</v>
      </c>
      <c r="J32" s="5" t="inlineStr">
        <is>
          <t>bloco de porta</t>
        </is>
      </c>
    </row>
    <row r="33">
      <c r="A33" s="5" t="inlineStr">
        <is>
          <t>R01</t>
        </is>
      </c>
      <c r="B33" s="5" t="inlineStr">
        <is>
          <t>Quarto 02</t>
        </is>
      </c>
      <c r="C33" s="5" t="inlineStr">
        <is>
          <t>vão descontado</t>
        </is>
      </c>
      <c r="D33" s="5" t="inlineStr">
        <is>
          <t>P06 — Circulação / Quarto 02 (trecho dir.)</t>
        </is>
      </c>
      <c r="E33" s="7" t="n">
        <v>9.866</v>
      </c>
      <c r="F33" s="7" t="n">
        <v>33.336</v>
      </c>
      <c r="G33" s="7" t="n">
        <v>9.866</v>
      </c>
      <c r="H33" s="7" t="n">
        <v>34.136</v>
      </c>
      <c r="I33" s="7" t="n">
        <v>0.8</v>
      </c>
      <c r="J33" s="5" t="inlineStr">
        <is>
          <t>bloco de porta</t>
        </is>
      </c>
    </row>
    <row r="34">
      <c r="A34" s="11" t="inlineStr">
        <is>
          <t>R01</t>
        </is>
      </c>
      <c r="B34" s="11" t="inlineStr">
        <is>
          <t>Quarto 02</t>
        </is>
      </c>
      <c r="C34" s="11" t="inlineStr">
        <is>
          <t>LÍQUIDO</t>
        </is>
      </c>
      <c r="D34" s="11" t="inlineStr">
        <is>
          <t>soma dos trechos − vãos</t>
        </is>
      </c>
      <c r="E34" s="13" t="inlineStr"/>
      <c r="F34" s="13" t="inlineStr"/>
      <c r="G34" s="13" t="inlineStr"/>
      <c r="H34" s="13" t="inlineStr"/>
      <c r="I34" s="13">
        <f>I31-SUM(I32:I33)</f>
        <v/>
      </c>
      <c r="J34" s="11" t="inlineStr"/>
    </row>
    <row r="35">
      <c r="A35" s="5" t="inlineStr">
        <is>
          <t>R01</t>
        </is>
      </c>
      <c r="B35" s="5" t="inlineStr">
        <is>
          <t>WC 02</t>
        </is>
      </c>
      <c r="C35" s="5" t="inlineStr">
        <is>
          <t>trecho de parede</t>
        </is>
      </c>
      <c r="D35" s="5" t="inlineStr">
        <is>
          <t>inf.</t>
        </is>
      </c>
      <c r="E35" s="7" t="n">
        <v>6.291</v>
      </c>
      <c r="F35" s="7" t="n">
        <v>31.586</v>
      </c>
      <c r="G35" s="7" t="n">
        <v>9.090999999999999</v>
      </c>
      <c r="H35" s="7" t="n">
        <v>31.586</v>
      </c>
      <c r="I35" s="7" t="n">
        <v>2.8</v>
      </c>
      <c r="J35" s="5" t="inlineStr">
        <is>
          <t>geometria DWG (face interna)</t>
        </is>
      </c>
    </row>
    <row r="36">
      <c r="A36" s="5" t="inlineStr">
        <is>
          <t>R01</t>
        </is>
      </c>
      <c r="B36" s="5" t="inlineStr">
        <is>
          <t>WC 02</t>
        </is>
      </c>
      <c r="C36" s="5" t="inlineStr">
        <is>
          <t>trecho de parede</t>
        </is>
      </c>
      <c r="D36" s="5" t="inlineStr">
        <is>
          <t>dir.</t>
        </is>
      </c>
      <c r="E36" s="7" t="n">
        <v>9.090999999999999</v>
      </c>
      <c r="F36" s="7" t="n">
        <v>31.586</v>
      </c>
      <c r="G36" s="7" t="n">
        <v>9.090999999999999</v>
      </c>
      <c r="H36" s="7" t="n">
        <v>33.086</v>
      </c>
      <c r="I36" s="7" t="n">
        <v>1.5</v>
      </c>
      <c r="J36" s="5" t="inlineStr">
        <is>
          <t>geometria DWG (face interna)</t>
        </is>
      </c>
    </row>
    <row r="37">
      <c r="A37" s="5" t="inlineStr">
        <is>
          <t>R01</t>
        </is>
      </c>
      <c r="B37" s="5" t="inlineStr">
        <is>
          <t>WC 02</t>
        </is>
      </c>
      <c r="C37" s="5" t="inlineStr">
        <is>
          <t>trecho de parede</t>
        </is>
      </c>
      <c r="D37" s="5" t="inlineStr">
        <is>
          <t>sup.</t>
        </is>
      </c>
      <c r="E37" s="7" t="n">
        <v>9.090999999999999</v>
      </c>
      <c r="F37" s="7" t="n">
        <v>33.086</v>
      </c>
      <c r="G37" s="7" t="n">
        <v>6.291</v>
      </c>
      <c r="H37" s="7" t="n">
        <v>33.086</v>
      </c>
      <c r="I37" s="7" t="n">
        <v>2.8</v>
      </c>
      <c r="J37" s="5" t="inlineStr">
        <is>
          <t>geometria DWG (face interna)</t>
        </is>
      </c>
    </row>
    <row r="38">
      <c r="A38" s="5" t="inlineStr">
        <is>
          <t>R01</t>
        </is>
      </c>
      <c r="B38" s="5" t="inlineStr">
        <is>
          <t>WC 02</t>
        </is>
      </c>
      <c r="C38" s="5" t="inlineStr">
        <is>
          <t>trecho de parede</t>
        </is>
      </c>
      <c r="D38" s="5" t="inlineStr">
        <is>
          <t>esq.</t>
        </is>
      </c>
      <c r="E38" s="7" t="n">
        <v>6.291</v>
      </c>
      <c r="F38" s="7" t="n">
        <v>33.086</v>
      </c>
      <c r="G38" s="7" t="n">
        <v>6.291</v>
      </c>
      <c r="H38" s="7" t="n">
        <v>31.586</v>
      </c>
      <c r="I38" s="7" t="n">
        <v>1.5</v>
      </c>
      <c r="J38" s="5" t="inlineStr">
        <is>
          <t>geometria DWG (face interna)</t>
        </is>
      </c>
    </row>
    <row r="39">
      <c r="A39" s="5" t="inlineStr">
        <is>
          <t>R01</t>
        </is>
      </c>
      <c r="B39" s="5" t="inlineStr">
        <is>
          <t>WC 02</t>
        </is>
      </c>
      <c r="C39" s="5" t="inlineStr">
        <is>
          <t>soma dos trechos</t>
        </is>
      </c>
      <c r="D39" s="5" t="inlineStr"/>
      <c r="E39" s="7" t="inlineStr"/>
      <c r="F39" s="7" t="inlineStr"/>
      <c r="G39" s="7" t="inlineStr"/>
      <c r="H39" s="7" t="inlineStr"/>
      <c r="I39" s="7">
        <f>SUM(I35:I38)</f>
        <v/>
      </c>
      <c r="J39" s="5" t="n"/>
    </row>
    <row r="40">
      <c r="A40" s="5" t="inlineStr">
        <is>
          <t>R01</t>
        </is>
      </c>
      <c r="B40" s="5" t="inlineStr">
        <is>
          <t>WC 02</t>
        </is>
      </c>
      <c r="C40" s="5" t="inlineStr">
        <is>
          <t>vão descontado</t>
        </is>
      </c>
      <c r="D40" s="5" t="inlineStr">
        <is>
          <t>P06 — Quarto 02 / WC 02 (trecho sup.)</t>
        </is>
      </c>
      <c r="E40" s="7" t="n">
        <v>8.191000000000001</v>
      </c>
      <c r="F40" s="7" t="n">
        <v>33.161</v>
      </c>
      <c r="G40" s="7" t="n">
        <v>8.991</v>
      </c>
      <c r="H40" s="7" t="n">
        <v>33.161</v>
      </c>
      <c r="I40" s="7" t="n">
        <v>0.8</v>
      </c>
      <c r="J40" s="5" t="inlineStr">
        <is>
          <t>bloco de porta</t>
        </is>
      </c>
    </row>
    <row r="41">
      <c r="A41" s="11" t="inlineStr">
        <is>
          <t>R01</t>
        </is>
      </c>
      <c r="B41" s="11" t="inlineStr">
        <is>
          <t>WC 02</t>
        </is>
      </c>
      <c r="C41" s="11" t="inlineStr">
        <is>
          <t>LÍQUIDO</t>
        </is>
      </c>
      <c r="D41" s="11" t="inlineStr">
        <is>
          <t>soma dos trechos − vãos</t>
        </is>
      </c>
      <c r="E41" s="13" t="inlineStr"/>
      <c r="F41" s="13" t="inlineStr"/>
      <c r="G41" s="13" t="inlineStr"/>
      <c r="H41" s="13" t="inlineStr"/>
      <c r="I41" s="13">
        <f>I39-SUM(I40:I40)</f>
        <v/>
      </c>
      <c r="J41" s="11" t="inlineStr"/>
    </row>
    <row r="42">
      <c r="A42" s="5" t="inlineStr">
        <is>
          <t>R01</t>
        </is>
      </c>
      <c r="B42" s="5" t="inlineStr">
        <is>
          <t>WC 01</t>
        </is>
      </c>
      <c r="C42" s="5" t="inlineStr">
        <is>
          <t>trecho de parede</t>
        </is>
      </c>
      <c r="D42" s="5" t="inlineStr">
        <is>
          <t>inf.</t>
        </is>
      </c>
      <c r="E42" s="7" t="n">
        <v>6.291</v>
      </c>
      <c r="F42" s="7" t="n">
        <v>29.936</v>
      </c>
      <c r="G42" s="7" t="n">
        <v>9.090999999999999</v>
      </c>
      <c r="H42" s="7" t="n">
        <v>29.936</v>
      </c>
      <c r="I42" s="7" t="n">
        <v>2.8</v>
      </c>
      <c r="J42" s="5" t="inlineStr">
        <is>
          <t>geometria DWG (face interna)</t>
        </is>
      </c>
    </row>
    <row r="43">
      <c r="A43" s="5" t="inlineStr">
        <is>
          <t>R01</t>
        </is>
      </c>
      <c r="B43" s="5" t="inlineStr">
        <is>
          <t>WC 01</t>
        </is>
      </c>
      <c r="C43" s="5" t="inlineStr">
        <is>
          <t>trecho de parede</t>
        </is>
      </c>
      <c r="D43" s="5" t="inlineStr">
        <is>
          <t>dir.</t>
        </is>
      </c>
      <c r="E43" s="7" t="n">
        <v>9.090999999999999</v>
      </c>
      <c r="F43" s="7" t="n">
        <v>29.936</v>
      </c>
      <c r="G43" s="7" t="n">
        <v>9.090999999999999</v>
      </c>
      <c r="H43" s="7" t="n">
        <v>31.436</v>
      </c>
      <c r="I43" s="7" t="n">
        <v>1.5</v>
      </c>
      <c r="J43" s="5" t="inlineStr">
        <is>
          <t>geometria DWG (face interna)</t>
        </is>
      </c>
    </row>
    <row r="44">
      <c r="A44" s="5" t="inlineStr">
        <is>
          <t>R01</t>
        </is>
      </c>
      <c r="B44" s="5" t="inlineStr">
        <is>
          <t>WC 01</t>
        </is>
      </c>
      <c r="C44" s="5" t="inlineStr">
        <is>
          <t>trecho de parede</t>
        </is>
      </c>
      <c r="D44" s="5" t="inlineStr">
        <is>
          <t>sup.</t>
        </is>
      </c>
      <c r="E44" s="7" t="n">
        <v>9.090999999999999</v>
      </c>
      <c r="F44" s="7" t="n">
        <v>31.436</v>
      </c>
      <c r="G44" s="7" t="n">
        <v>6.291</v>
      </c>
      <c r="H44" s="7" t="n">
        <v>31.436</v>
      </c>
      <c r="I44" s="7" t="n">
        <v>2.8</v>
      </c>
      <c r="J44" s="5" t="inlineStr">
        <is>
          <t>geometria DWG (face interna)</t>
        </is>
      </c>
    </row>
    <row r="45">
      <c r="A45" s="5" t="inlineStr">
        <is>
          <t>R01</t>
        </is>
      </c>
      <c r="B45" s="5" t="inlineStr">
        <is>
          <t>WC 01</t>
        </is>
      </c>
      <c r="C45" s="5" t="inlineStr">
        <is>
          <t>trecho de parede</t>
        </is>
      </c>
      <c r="D45" s="5" t="inlineStr">
        <is>
          <t>esq.</t>
        </is>
      </c>
      <c r="E45" s="7" t="n">
        <v>6.291</v>
      </c>
      <c r="F45" s="7" t="n">
        <v>31.436</v>
      </c>
      <c r="G45" s="7" t="n">
        <v>6.291</v>
      </c>
      <c r="H45" s="7" t="n">
        <v>29.936</v>
      </c>
      <c r="I45" s="7" t="n">
        <v>1.5</v>
      </c>
      <c r="J45" s="5" t="inlineStr">
        <is>
          <t>geometria DWG (face interna)</t>
        </is>
      </c>
    </row>
    <row r="46">
      <c r="A46" s="5" t="inlineStr">
        <is>
          <t>R01</t>
        </is>
      </c>
      <c r="B46" s="5" t="inlineStr">
        <is>
          <t>WC 01</t>
        </is>
      </c>
      <c r="C46" s="5" t="inlineStr">
        <is>
          <t>soma dos trechos</t>
        </is>
      </c>
      <c r="D46" s="5" t="inlineStr"/>
      <c r="E46" s="7" t="inlineStr"/>
      <c r="F46" s="7" t="inlineStr"/>
      <c r="G46" s="7" t="inlineStr"/>
      <c r="H46" s="7" t="inlineStr"/>
      <c r="I46" s="7">
        <f>SUM(I42:I45)</f>
        <v/>
      </c>
      <c r="J46" s="5" t="n"/>
    </row>
    <row r="47">
      <c r="A47" s="5" t="inlineStr">
        <is>
          <t>R01</t>
        </is>
      </c>
      <c r="B47" s="5" t="inlineStr">
        <is>
          <t>WC 01</t>
        </is>
      </c>
      <c r="C47" s="5" t="inlineStr">
        <is>
          <t>vão descontado</t>
        </is>
      </c>
      <c r="D47" s="5" t="inlineStr">
        <is>
          <t>P06 — Quarto 01 / WC 01 (trecho inf.)</t>
        </is>
      </c>
      <c r="E47" s="7" t="n">
        <v>8.191000000000001</v>
      </c>
      <c r="F47" s="7" t="n">
        <v>29.861</v>
      </c>
      <c r="G47" s="7" t="n">
        <v>8.991</v>
      </c>
      <c r="H47" s="7" t="n">
        <v>29.861</v>
      </c>
      <c r="I47" s="7" t="n">
        <v>0.8</v>
      </c>
      <c r="J47" s="5" t="inlineStr">
        <is>
          <t>bloco de porta</t>
        </is>
      </c>
    </row>
    <row r="48">
      <c r="A48" s="11" t="inlineStr">
        <is>
          <t>R01</t>
        </is>
      </c>
      <c r="B48" s="11" t="inlineStr">
        <is>
          <t>WC 01</t>
        </is>
      </c>
      <c r="C48" s="11" t="inlineStr">
        <is>
          <t>LÍQUIDO</t>
        </is>
      </c>
      <c r="D48" s="11" t="inlineStr">
        <is>
          <t>soma dos trechos − vãos</t>
        </is>
      </c>
      <c r="E48" s="13" t="inlineStr"/>
      <c r="F48" s="13" t="inlineStr"/>
      <c r="G48" s="13" t="inlineStr"/>
      <c r="H48" s="13" t="inlineStr"/>
      <c r="I48" s="13">
        <f>I46-SUM(I47:I47)</f>
        <v/>
      </c>
      <c r="J48" s="11" t="inlineStr"/>
    </row>
    <row r="49">
      <c r="A49" s="5" t="inlineStr">
        <is>
          <t>R01</t>
        </is>
      </c>
      <c r="B49" s="5" t="inlineStr">
        <is>
          <t>Quarto 01</t>
        </is>
      </c>
      <c r="C49" s="5" t="inlineStr">
        <is>
          <t>trecho de parede</t>
        </is>
      </c>
      <c r="D49" s="5" t="inlineStr">
        <is>
          <t>inf.</t>
        </is>
      </c>
      <c r="E49" s="7" t="n">
        <v>5.691</v>
      </c>
      <c r="F49" s="7" t="n">
        <v>26.786</v>
      </c>
      <c r="G49" s="7" t="n">
        <v>9.791</v>
      </c>
      <c r="H49" s="7" t="n">
        <v>26.786</v>
      </c>
      <c r="I49" s="7" t="n">
        <v>4.1</v>
      </c>
      <c r="J49" s="5" t="inlineStr">
        <is>
          <t>geometria DWG (face interna)</t>
        </is>
      </c>
    </row>
    <row r="50">
      <c r="A50" s="5" t="inlineStr">
        <is>
          <t>R01</t>
        </is>
      </c>
      <c r="B50" s="5" t="inlineStr">
        <is>
          <t>Quarto 01</t>
        </is>
      </c>
      <c r="C50" s="5" t="inlineStr">
        <is>
          <t>trecho de parede</t>
        </is>
      </c>
      <c r="D50" s="5" t="inlineStr">
        <is>
          <t>dir.</t>
        </is>
      </c>
      <c r="E50" s="7" t="n">
        <v>9.791</v>
      </c>
      <c r="F50" s="7" t="n">
        <v>26.786</v>
      </c>
      <c r="G50" s="7" t="n">
        <v>9.791</v>
      </c>
      <c r="H50" s="7" t="n">
        <v>29.786</v>
      </c>
      <c r="I50" s="7" t="n">
        <v>3</v>
      </c>
      <c r="J50" s="5" t="inlineStr">
        <is>
          <t>geometria DWG (face interna)</t>
        </is>
      </c>
    </row>
    <row r="51">
      <c r="A51" s="5" t="inlineStr">
        <is>
          <t>R01</t>
        </is>
      </c>
      <c r="B51" s="5" t="inlineStr">
        <is>
          <t>Quarto 01</t>
        </is>
      </c>
      <c r="C51" s="5" t="inlineStr">
        <is>
          <t>trecho de parede</t>
        </is>
      </c>
      <c r="D51" s="5" t="inlineStr">
        <is>
          <t>sup.</t>
        </is>
      </c>
      <c r="E51" s="7" t="n">
        <v>9.791</v>
      </c>
      <c r="F51" s="7" t="n">
        <v>29.786</v>
      </c>
      <c r="G51" s="7" t="n">
        <v>5.691</v>
      </c>
      <c r="H51" s="7" t="n">
        <v>29.786</v>
      </c>
      <c r="I51" s="7" t="n">
        <v>4.1</v>
      </c>
      <c r="J51" s="5" t="inlineStr">
        <is>
          <t>geometria DWG (face interna)</t>
        </is>
      </c>
    </row>
    <row r="52">
      <c r="A52" s="5" t="inlineStr">
        <is>
          <t>R01</t>
        </is>
      </c>
      <c r="B52" s="5" t="inlineStr">
        <is>
          <t>Quarto 01</t>
        </is>
      </c>
      <c r="C52" s="5" t="inlineStr">
        <is>
          <t>trecho de parede</t>
        </is>
      </c>
      <c r="D52" s="5" t="inlineStr">
        <is>
          <t>esq.</t>
        </is>
      </c>
      <c r="E52" s="7" t="n">
        <v>5.691</v>
      </c>
      <c r="F52" s="7" t="n">
        <v>29.786</v>
      </c>
      <c r="G52" s="7" t="n">
        <v>5.691</v>
      </c>
      <c r="H52" s="7" t="n">
        <v>26.786</v>
      </c>
      <c r="I52" s="7" t="n">
        <v>3</v>
      </c>
      <c r="J52" s="5" t="inlineStr">
        <is>
          <t>geometria DWG (face interna)</t>
        </is>
      </c>
    </row>
    <row r="53">
      <c r="A53" s="5" t="inlineStr">
        <is>
          <t>R01</t>
        </is>
      </c>
      <c r="B53" s="5" t="inlineStr">
        <is>
          <t>Quarto 01</t>
        </is>
      </c>
      <c r="C53" s="5" t="inlineStr">
        <is>
          <t>soma dos trechos</t>
        </is>
      </c>
      <c r="D53" s="5" t="inlineStr"/>
      <c r="E53" s="7" t="inlineStr"/>
      <c r="F53" s="7" t="inlineStr"/>
      <c r="G53" s="7" t="inlineStr"/>
      <c r="H53" s="7" t="inlineStr"/>
      <c r="I53" s="7">
        <f>SUM(I49:I52)</f>
        <v/>
      </c>
      <c r="J53" s="5" t="n"/>
    </row>
    <row r="54">
      <c r="A54" s="5" t="inlineStr">
        <is>
          <t>R01</t>
        </is>
      </c>
      <c r="B54" s="5" t="inlineStr">
        <is>
          <t>Quarto 01</t>
        </is>
      </c>
      <c r="C54" s="5" t="inlineStr">
        <is>
          <t>vão descontado</t>
        </is>
      </c>
      <c r="D54" s="5" t="inlineStr">
        <is>
          <t>P06 — Circulação / Quarto 01 (trecho dir.)</t>
        </is>
      </c>
      <c r="E54" s="7" t="n">
        <v>9.866</v>
      </c>
      <c r="F54" s="7" t="n">
        <v>28.886</v>
      </c>
      <c r="G54" s="7" t="n">
        <v>9.866</v>
      </c>
      <c r="H54" s="7" t="n">
        <v>29.686</v>
      </c>
      <c r="I54" s="7" t="n">
        <v>0.8</v>
      </c>
      <c r="J54" s="5" t="inlineStr">
        <is>
          <t>bloco de porta</t>
        </is>
      </c>
    </row>
    <row r="55">
      <c r="A55" s="5" t="inlineStr">
        <is>
          <t>R01</t>
        </is>
      </c>
      <c r="B55" s="5" t="inlineStr">
        <is>
          <t>Quarto 01</t>
        </is>
      </c>
      <c r="C55" s="5" t="inlineStr">
        <is>
          <t>vão descontado</t>
        </is>
      </c>
      <c r="D55" s="5" t="inlineStr">
        <is>
          <t>P06 — Quarto 01 / WC 01 (trecho sup.)</t>
        </is>
      </c>
      <c r="E55" s="7" t="n">
        <v>8.191000000000001</v>
      </c>
      <c r="F55" s="7" t="n">
        <v>29.861</v>
      </c>
      <c r="G55" s="7" t="n">
        <v>8.991</v>
      </c>
      <c r="H55" s="7" t="n">
        <v>29.861</v>
      </c>
      <c r="I55" s="7" t="n">
        <v>0.8</v>
      </c>
      <c r="J55" s="5" t="inlineStr">
        <is>
          <t>bloco de porta</t>
        </is>
      </c>
    </row>
    <row r="56">
      <c r="A56" s="11" t="inlineStr">
        <is>
          <t>R01</t>
        </is>
      </c>
      <c r="B56" s="11" t="inlineStr">
        <is>
          <t>Quarto 01</t>
        </is>
      </c>
      <c r="C56" s="11" t="inlineStr">
        <is>
          <t>LÍQUIDO</t>
        </is>
      </c>
      <c r="D56" s="11" t="inlineStr">
        <is>
          <t>soma dos trechos − vãos</t>
        </is>
      </c>
      <c r="E56" s="13" t="inlineStr"/>
      <c r="F56" s="13" t="inlineStr"/>
      <c r="G56" s="13" t="inlineStr"/>
      <c r="H56" s="13" t="inlineStr"/>
      <c r="I56" s="13">
        <f>I53-SUM(I54:I55)</f>
        <v/>
      </c>
      <c r="J56" s="11" t="inlineStr"/>
    </row>
    <row r="57">
      <c r="A57" s="5" t="inlineStr">
        <is>
          <t>R01</t>
        </is>
      </c>
      <c r="B57" s="5" t="inlineStr">
        <is>
          <t>Escritório</t>
        </is>
      </c>
      <c r="C57" s="5" t="inlineStr">
        <is>
          <t>trecho de parede</t>
        </is>
      </c>
      <c r="D57" s="5" t="inlineStr">
        <is>
          <t>inf.</t>
        </is>
      </c>
      <c r="E57" s="7" t="n">
        <v>11.291</v>
      </c>
      <c r="F57" s="7" t="n">
        <v>34.036</v>
      </c>
      <c r="G57" s="7" t="n">
        <v>14.591</v>
      </c>
      <c r="H57" s="7" t="n">
        <v>34.036</v>
      </c>
      <c r="I57" s="7" t="n">
        <v>3.3</v>
      </c>
      <c r="J57" s="5" t="inlineStr">
        <is>
          <t>geometria DWG (face interna)</t>
        </is>
      </c>
    </row>
    <row r="58">
      <c r="A58" s="5" t="inlineStr">
        <is>
          <t>R01</t>
        </is>
      </c>
      <c r="B58" s="5" t="inlineStr">
        <is>
          <t>Escritório</t>
        </is>
      </c>
      <c r="C58" s="5" t="inlineStr">
        <is>
          <t>trecho de parede</t>
        </is>
      </c>
      <c r="D58" s="5" t="inlineStr">
        <is>
          <t>dir.</t>
        </is>
      </c>
      <c r="E58" s="7" t="n">
        <v>14.591</v>
      </c>
      <c r="F58" s="7" t="n">
        <v>34.036</v>
      </c>
      <c r="G58" s="7" t="n">
        <v>14.591</v>
      </c>
      <c r="H58" s="7" t="n">
        <v>36.236</v>
      </c>
      <c r="I58" s="7" t="n">
        <v>2.2</v>
      </c>
      <c r="J58" s="5" t="inlineStr">
        <is>
          <t>geometria DWG (face interna)</t>
        </is>
      </c>
    </row>
    <row r="59">
      <c r="A59" s="5" t="inlineStr">
        <is>
          <t>R01</t>
        </is>
      </c>
      <c r="B59" s="5" t="inlineStr">
        <is>
          <t>Escritório</t>
        </is>
      </c>
      <c r="C59" s="5" t="inlineStr">
        <is>
          <t>trecho de parede</t>
        </is>
      </c>
      <c r="D59" s="5" t="inlineStr">
        <is>
          <t>sup.</t>
        </is>
      </c>
      <c r="E59" s="7" t="n">
        <v>14.591</v>
      </c>
      <c r="F59" s="7" t="n">
        <v>36.236</v>
      </c>
      <c r="G59" s="7" t="n">
        <v>11.291</v>
      </c>
      <c r="H59" s="7" t="n">
        <v>36.236</v>
      </c>
      <c r="I59" s="7" t="n">
        <v>3.3</v>
      </c>
      <c r="J59" s="5" t="inlineStr">
        <is>
          <t>geometria DWG (face interna)</t>
        </is>
      </c>
    </row>
    <row r="60">
      <c r="A60" s="5" t="inlineStr">
        <is>
          <t>R01</t>
        </is>
      </c>
      <c r="B60" s="5" t="inlineStr">
        <is>
          <t>Escritório</t>
        </is>
      </c>
      <c r="C60" s="5" t="inlineStr">
        <is>
          <t>trecho de parede</t>
        </is>
      </c>
      <c r="D60" s="5" t="inlineStr">
        <is>
          <t>esq.</t>
        </is>
      </c>
      <c r="E60" s="7" t="n">
        <v>11.291</v>
      </c>
      <c r="F60" s="7" t="n">
        <v>36.236</v>
      </c>
      <c r="G60" s="7" t="n">
        <v>11.291</v>
      </c>
      <c r="H60" s="7" t="n">
        <v>34.036</v>
      </c>
      <c r="I60" s="7" t="n">
        <v>2.2</v>
      </c>
      <c r="J60" s="5" t="inlineStr">
        <is>
          <t>geometria DWG (face interna)</t>
        </is>
      </c>
    </row>
    <row r="61">
      <c r="A61" s="5" t="inlineStr">
        <is>
          <t>R01</t>
        </is>
      </c>
      <c r="B61" s="5" t="inlineStr">
        <is>
          <t>Escritório</t>
        </is>
      </c>
      <c r="C61" s="5" t="inlineStr">
        <is>
          <t>soma dos trechos</t>
        </is>
      </c>
      <c r="D61" s="5" t="inlineStr"/>
      <c r="E61" s="7" t="inlineStr"/>
      <c r="F61" s="7" t="inlineStr"/>
      <c r="G61" s="7" t="inlineStr"/>
      <c r="H61" s="7" t="inlineStr"/>
      <c r="I61" s="7">
        <f>SUM(I57:I60)</f>
        <v/>
      </c>
      <c r="J61" s="5" t="n"/>
    </row>
    <row r="62">
      <c r="A62" s="5" t="inlineStr">
        <is>
          <t>R01</t>
        </is>
      </c>
      <c r="B62" s="5" t="inlineStr">
        <is>
          <t>Escritório</t>
        </is>
      </c>
      <c r="C62" s="5" t="inlineStr">
        <is>
          <t>vão descontado</t>
        </is>
      </c>
      <c r="D62" s="5" t="inlineStr">
        <is>
          <t>P06 — Circulação / Escritório (trecho esq.)</t>
        </is>
      </c>
      <c r="E62" s="7" t="n">
        <v>11.216</v>
      </c>
      <c r="F62" s="7" t="n">
        <v>34.136</v>
      </c>
      <c r="G62" s="7" t="n">
        <v>11.216</v>
      </c>
      <c r="H62" s="7" t="n">
        <v>34.936</v>
      </c>
      <c r="I62" s="7" t="n">
        <v>0.8</v>
      </c>
      <c r="J62" s="5" t="inlineStr">
        <is>
          <t>bloco de porta</t>
        </is>
      </c>
    </row>
    <row r="63">
      <c r="A63" s="11" t="inlineStr">
        <is>
          <t>R01</t>
        </is>
      </c>
      <c r="B63" s="11" t="inlineStr">
        <is>
          <t>Escritório</t>
        </is>
      </c>
      <c r="C63" s="11" t="inlineStr">
        <is>
          <t>LÍQUIDO</t>
        </is>
      </c>
      <c r="D63" s="11" t="inlineStr">
        <is>
          <t>soma dos trechos − vãos</t>
        </is>
      </c>
      <c r="E63" s="13" t="inlineStr"/>
      <c r="F63" s="13" t="inlineStr"/>
      <c r="G63" s="13" t="inlineStr"/>
      <c r="H63" s="13" t="inlineStr"/>
      <c r="I63" s="13">
        <f>I61-SUM(I62:I62)</f>
        <v/>
      </c>
      <c r="J63" s="11" t="inlineStr"/>
    </row>
    <row r="64">
      <c r="A64" s="5" t="inlineStr">
        <is>
          <t>R01</t>
        </is>
      </c>
      <c r="B64" s="5" t="inlineStr">
        <is>
          <t>Banheiro Externo</t>
        </is>
      </c>
      <c r="C64" s="5" t="inlineStr">
        <is>
          <t>trecho de parede</t>
        </is>
      </c>
      <c r="D64" s="5" t="inlineStr">
        <is>
          <t>inf.</t>
        </is>
      </c>
      <c r="E64" s="7" t="n">
        <v>11.291</v>
      </c>
      <c r="F64" s="7" t="n">
        <v>32.486</v>
      </c>
      <c r="G64" s="7" t="n">
        <v>14.591</v>
      </c>
      <c r="H64" s="7" t="n">
        <v>32.486</v>
      </c>
      <c r="I64" s="7" t="n">
        <v>3.3</v>
      </c>
      <c r="J64" s="5" t="inlineStr">
        <is>
          <t>geometria DWG (face interna)</t>
        </is>
      </c>
    </row>
    <row r="65">
      <c r="A65" s="5" t="inlineStr">
        <is>
          <t>R01</t>
        </is>
      </c>
      <c r="B65" s="5" t="inlineStr">
        <is>
          <t>Banheiro Externo</t>
        </is>
      </c>
      <c r="C65" s="5" t="inlineStr">
        <is>
          <t>trecho de parede</t>
        </is>
      </c>
      <c r="D65" s="5" t="inlineStr">
        <is>
          <t>dir.</t>
        </is>
      </c>
      <c r="E65" s="7" t="n">
        <v>14.591</v>
      </c>
      <c r="F65" s="7" t="n">
        <v>32.486</v>
      </c>
      <c r="G65" s="7" t="n">
        <v>14.591</v>
      </c>
      <c r="H65" s="7" t="n">
        <v>33.886</v>
      </c>
      <c r="I65" s="7" t="n">
        <v>1.4</v>
      </c>
      <c r="J65" s="5" t="inlineStr">
        <is>
          <t>geometria DWG (face interna)</t>
        </is>
      </c>
    </row>
    <row r="66">
      <c r="A66" s="5" t="inlineStr">
        <is>
          <t>R01</t>
        </is>
      </c>
      <c r="B66" s="5" t="inlineStr">
        <is>
          <t>Banheiro Externo</t>
        </is>
      </c>
      <c r="C66" s="5" t="inlineStr">
        <is>
          <t>trecho de parede</t>
        </is>
      </c>
      <c r="D66" s="5" t="inlineStr">
        <is>
          <t>sup.</t>
        </is>
      </c>
      <c r="E66" s="7" t="n">
        <v>14.591</v>
      </c>
      <c r="F66" s="7" t="n">
        <v>33.886</v>
      </c>
      <c r="G66" s="7" t="n">
        <v>11.291</v>
      </c>
      <c r="H66" s="7" t="n">
        <v>33.886</v>
      </c>
      <c r="I66" s="7" t="n">
        <v>3.3</v>
      </c>
      <c r="J66" s="5" t="inlineStr">
        <is>
          <t>geometria DWG (face interna)</t>
        </is>
      </c>
    </row>
    <row r="67">
      <c r="A67" s="5" t="inlineStr">
        <is>
          <t>R01</t>
        </is>
      </c>
      <c r="B67" s="5" t="inlineStr">
        <is>
          <t>Banheiro Externo</t>
        </is>
      </c>
      <c r="C67" s="5" t="inlineStr">
        <is>
          <t>trecho de parede</t>
        </is>
      </c>
      <c r="D67" s="5" t="inlineStr">
        <is>
          <t>esq.</t>
        </is>
      </c>
      <c r="E67" s="7" t="n">
        <v>11.291</v>
      </c>
      <c r="F67" s="7" t="n">
        <v>33.886</v>
      </c>
      <c r="G67" s="7" t="n">
        <v>11.291</v>
      </c>
      <c r="H67" s="7" t="n">
        <v>32.486</v>
      </c>
      <c r="I67" s="7" t="n">
        <v>1.4</v>
      </c>
      <c r="J67" s="5" t="inlineStr">
        <is>
          <t>geometria DWG (face interna)</t>
        </is>
      </c>
    </row>
    <row r="68">
      <c r="A68" s="5" t="inlineStr">
        <is>
          <t>R01</t>
        </is>
      </c>
      <c r="B68" s="5" t="inlineStr">
        <is>
          <t>Banheiro Externo</t>
        </is>
      </c>
      <c r="C68" s="5" t="inlineStr">
        <is>
          <t>soma dos trechos</t>
        </is>
      </c>
      <c r="D68" s="5" t="inlineStr"/>
      <c r="E68" s="7" t="inlineStr"/>
      <c r="F68" s="7" t="inlineStr"/>
      <c r="G68" s="7" t="inlineStr"/>
      <c r="H68" s="7" t="inlineStr"/>
      <c r="I68" s="7">
        <f>SUM(I64:I67)</f>
        <v/>
      </c>
      <c r="J68" s="5" t="n"/>
    </row>
    <row r="69">
      <c r="A69" s="5" t="inlineStr">
        <is>
          <t>R01</t>
        </is>
      </c>
      <c r="B69" s="5" t="inlineStr">
        <is>
          <t>Banheiro Externo</t>
        </is>
      </c>
      <c r="C69" s="5" t="inlineStr">
        <is>
          <t>vão descontado</t>
        </is>
      </c>
      <c r="D69" s="5" t="inlineStr">
        <is>
          <t>P11 — Banheiro Externo / Deck (trecho dir.)</t>
        </is>
      </c>
      <c r="E69" s="7" t="n">
        <v>14.666</v>
      </c>
      <c r="F69" s="7" t="n">
        <v>32.586</v>
      </c>
      <c r="G69" s="7" t="n">
        <v>14.666</v>
      </c>
      <c r="H69" s="7" t="n">
        <v>33.386</v>
      </c>
      <c r="I69" s="7" t="n">
        <v>0.8</v>
      </c>
      <c r="J69" s="5" t="inlineStr">
        <is>
          <t>bloco de porta</t>
        </is>
      </c>
    </row>
    <row r="70">
      <c r="A70" s="11" t="inlineStr">
        <is>
          <t>R01</t>
        </is>
      </c>
      <c r="B70" s="11" t="inlineStr">
        <is>
          <t>Banheiro Externo</t>
        </is>
      </c>
      <c r="C70" s="11" t="inlineStr">
        <is>
          <t>LÍQUIDO</t>
        </is>
      </c>
      <c r="D70" s="11" t="inlineStr">
        <is>
          <t>soma dos trechos − vãos</t>
        </is>
      </c>
      <c r="E70" s="13" t="inlineStr"/>
      <c r="F70" s="13" t="inlineStr"/>
      <c r="G70" s="13" t="inlineStr"/>
      <c r="H70" s="13" t="inlineStr"/>
      <c r="I70" s="13">
        <f>I68-SUM(I69:I69)</f>
        <v/>
      </c>
      <c r="J70" s="11" t="inlineStr"/>
    </row>
    <row r="71">
      <c r="A71" s="5" t="inlineStr">
        <is>
          <t>R01</t>
        </is>
      </c>
      <c r="B71" s="5" t="inlineStr">
        <is>
          <t>Circulação Interna</t>
        </is>
      </c>
      <c r="C71" s="5" t="inlineStr">
        <is>
          <t>trecho de parede</t>
        </is>
      </c>
      <c r="D71" s="5" t="inlineStr">
        <is>
          <t>inf.</t>
        </is>
      </c>
      <c r="E71" s="7" t="n">
        <v>9.941000000000001</v>
      </c>
      <c r="F71" s="7" t="n">
        <v>27.836</v>
      </c>
      <c r="G71" s="7" t="n">
        <v>11.141</v>
      </c>
      <c r="H71" s="7" t="n">
        <v>27.836</v>
      </c>
      <c r="I71" s="7" t="n">
        <v>1.2</v>
      </c>
      <c r="J71" s="5" t="inlineStr">
        <is>
          <t>geometria DWG (face interna)</t>
        </is>
      </c>
    </row>
    <row r="72">
      <c r="A72" s="5" t="inlineStr">
        <is>
          <t>R01</t>
        </is>
      </c>
      <c r="B72" s="5" t="inlineStr">
        <is>
          <t>Circulação Interna</t>
        </is>
      </c>
      <c r="C72" s="5" t="inlineStr">
        <is>
          <t>trecho de parede</t>
        </is>
      </c>
      <c r="D72" s="5" t="inlineStr">
        <is>
          <t>dir.</t>
        </is>
      </c>
      <c r="E72" s="7" t="n">
        <v>11.141</v>
      </c>
      <c r="F72" s="7" t="n">
        <v>27.836</v>
      </c>
      <c r="G72" s="7" t="n">
        <v>11.141</v>
      </c>
      <c r="H72" s="7" t="n">
        <v>36.236</v>
      </c>
      <c r="I72" s="7" t="n">
        <v>8.4</v>
      </c>
      <c r="J72" s="5" t="inlineStr">
        <is>
          <t>geometria DWG (face interna)</t>
        </is>
      </c>
    </row>
    <row r="73">
      <c r="A73" s="5" t="inlineStr">
        <is>
          <t>R01</t>
        </is>
      </c>
      <c r="B73" s="5" t="inlineStr">
        <is>
          <t>Circulação Interna</t>
        </is>
      </c>
      <c r="C73" s="5" t="inlineStr">
        <is>
          <t>trecho de parede</t>
        </is>
      </c>
      <c r="D73" s="5" t="inlineStr">
        <is>
          <t>sup.</t>
        </is>
      </c>
      <c r="E73" s="7" t="n">
        <v>11.141</v>
      </c>
      <c r="F73" s="7" t="n">
        <v>36.236</v>
      </c>
      <c r="G73" s="7" t="n">
        <v>9.941000000000001</v>
      </c>
      <c r="H73" s="7" t="n">
        <v>36.236</v>
      </c>
      <c r="I73" s="7" t="n">
        <v>1.2</v>
      </c>
      <c r="J73" s="5" t="inlineStr">
        <is>
          <t>geometria DWG (face interna)</t>
        </is>
      </c>
    </row>
    <row r="74">
      <c r="A74" s="5" t="inlineStr">
        <is>
          <t>R01</t>
        </is>
      </c>
      <c r="B74" s="5" t="inlineStr">
        <is>
          <t>Circulação Interna</t>
        </is>
      </c>
      <c r="C74" s="5" t="inlineStr">
        <is>
          <t>trecho de parede</t>
        </is>
      </c>
      <c r="D74" s="5" t="inlineStr">
        <is>
          <t>esq. sup.</t>
        </is>
      </c>
      <c r="E74" s="7" t="n">
        <v>9.941000000000001</v>
      </c>
      <c r="F74" s="7" t="n">
        <v>36.236</v>
      </c>
      <c r="G74" s="7" t="n">
        <v>9.941000000000001</v>
      </c>
      <c r="H74" s="7" t="n">
        <v>33.086</v>
      </c>
      <c r="I74" s="7" t="n">
        <v>3.15</v>
      </c>
      <c r="J74" s="5" t="inlineStr">
        <is>
          <t>geometria DWG (face interna)</t>
        </is>
      </c>
    </row>
    <row r="75">
      <c r="A75" s="5" t="inlineStr">
        <is>
          <t>R01</t>
        </is>
      </c>
      <c r="B75" s="5" t="inlineStr">
        <is>
          <t>Circulação Interna</t>
        </is>
      </c>
      <c r="C75" s="5" t="inlineStr">
        <is>
          <t>trecho de parede</t>
        </is>
      </c>
      <c r="D75" s="5" t="inlineStr">
        <is>
          <t>nicho sup.</t>
        </is>
      </c>
      <c r="E75" s="7" t="n">
        <v>9.941000000000001</v>
      </c>
      <c r="F75" s="7" t="n">
        <v>33.086</v>
      </c>
      <c r="G75" s="7" t="n">
        <v>9.241</v>
      </c>
      <c r="H75" s="7" t="n">
        <v>33.086</v>
      </c>
      <c r="I75" s="7" t="n">
        <v>0.7</v>
      </c>
      <c r="J75" s="5" t="inlineStr">
        <is>
          <t>geometria DWG (face interna)</t>
        </is>
      </c>
    </row>
    <row r="76">
      <c r="A76" s="5" t="inlineStr">
        <is>
          <t>R01</t>
        </is>
      </c>
      <c r="B76" s="5" t="inlineStr">
        <is>
          <t>Circulação Interna</t>
        </is>
      </c>
      <c r="C76" s="5" t="inlineStr">
        <is>
          <t>trecho de parede</t>
        </is>
      </c>
      <c r="D76" s="5" t="inlineStr">
        <is>
          <t>nicho esq.</t>
        </is>
      </c>
      <c r="E76" s="7" t="n">
        <v>9.241</v>
      </c>
      <c r="F76" s="7" t="n">
        <v>33.086</v>
      </c>
      <c r="G76" s="7" t="n">
        <v>9.241</v>
      </c>
      <c r="H76" s="7" t="n">
        <v>29.936</v>
      </c>
      <c r="I76" s="7" t="n">
        <v>3.15</v>
      </c>
      <c r="J76" s="5" t="inlineStr">
        <is>
          <t>geometria DWG (face interna)</t>
        </is>
      </c>
    </row>
    <row r="77">
      <c r="A77" s="5" t="inlineStr">
        <is>
          <t>R01</t>
        </is>
      </c>
      <c r="B77" s="5" t="inlineStr">
        <is>
          <t>Circulação Interna</t>
        </is>
      </c>
      <c r="C77" s="5" t="inlineStr">
        <is>
          <t>trecho de parede</t>
        </is>
      </c>
      <c r="D77" s="5" t="inlineStr">
        <is>
          <t>nicho inf.</t>
        </is>
      </c>
      <c r="E77" s="7" t="n">
        <v>9.241</v>
      </c>
      <c r="F77" s="7" t="n">
        <v>29.936</v>
      </c>
      <c r="G77" s="7" t="n">
        <v>9.941000000000001</v>
      </c>
      <c r="H77" s="7" t="n">
        <v>29.936</v>
      </c>
      <c r="I77" s="7" t="n">
        <v>0.7</v>
      </c>
      <c r="J77" s="5" t="inlineStr">
        <is>
          <t>geometria DWG (face interna)</t>
        </is>
      </c>
    </row>
    <row r="78">
      <c r="A78" s="5" t="inlineStr">
        <is>
          <t>R01</t>
        </is>
      </c>
      <c r="B78" s="5" t="inlineStr">
        <is>
          <t>Circulação Interna</t>
        </is>
      </c>
      <c r="C78" s="5" t="inlineStr">
        <is>
          <t>trecho de parede</t>
        </is>
      </c>
      <c r="D78" s="5" t="inlineStr">
        <is>
          <t>esq. inf.</t>
        </is>
      </c>
      <c r="E78" s="7" t="n">
        <v>9.941000000000001</v>
      </c>
      <c r="F78" s="7" t="n">
        <v>29.936</v>
      </c>
      <c r="G78" s="7" t="n">
        <v>9.941000000000001</v>
      </c>
      <c r="H78" s="7" t="n">
        <v>27.836</v>
      </c>
      <c r="I78" s="7" t="n">
        <v>2.1</v>
      </c>
      <c r="J78" s="5" t="inlineStr">
        <is>
          <t>geometria DWG (face interna)</t>
        </is>
      </c>
    </row>
    <row r="79">
      <c r="A79" s="5" t="inlineStr">
        <is>
          <t>R01</t>
        </is>
      </c>
      <c r="B79" s="5" t="inlineStr">
        <is>
          <t>Circulação Interna</t>
        </is>
      </c>
      <c r="C79" s="5" t="inlineStr">
        <is>
          <t>soma dos trechos</t>
        </is>
      </c>
      <c r="D79" s="5" t="inlineStr"/>
      <c r="E79" s="7" t="inlineStr"/>
      <c r="F79" s="7" t="inlineStr"/>
      <c r="G79" s="7" t="inlineStr"/>
      <c r="H79" s="7" t="inlineStr"/>
      <c r="I79" s="7">
        <f>SUM(I71:I78)</f>
        <v/>
      </c>
      <c r="J79" s="5" t="n"/>
    </row>
    <row r="80">
      <c r="A80" s="5" t="inlineStr">
        <is>
          <t>R01</t>
        </is>
      </c>
      <c r="B80" s="5" t="inlineStr">
        <is>
          <t>Circulação Interna</t>
        </is>
      </c>
      <c r="C80" s="5" t="inlineStr">
        <is>
          <t>vão descontado</t>
        </is>
      </c>
      <c r="D80" s="5" t="inlineStr">
        <is>
          <t>P06 — Circulação / Sala (trecho inf.)</t>
        </is>
      </c>
      <c r="E80" s="7" t="n">
        <v>10.041</v>
      </c>
      <c r="F80" s="7" t="n">
        <v>27.761</v>
      </c>
      <c r="G80" s="7" t="n">
        <v>10.941</v>
      </c>
      <c r="H80" s="7" t="n">
        <v>27.761</v>
      </c>
      <c r="I80" s="7" t="n">
        <v>0.9</v>
      </c>
      <c r="J80" s="5" t="inlineStr">
        <is>
          <t>bloco de porta</t>
        </is>
      </c>
    </row>
    <row r="81">
      <c r="A81" s="5" t="inlineStr">
        <is>
          <t>R01</t>
        </is>
      </c>
      <c r="B81" s="5" t="inlineStr">
        <is>
          <t>Circulação Interna</t>
        </is>
      </c>
      <c r="C81" s="5" t="inlineStr">
        <is>
          <t>vão descontado</t>
        </is>
      </c>
      <c r="D81" s="5" t="inlineStr">
        <is>
          <t>P06 — Circulação / Escritório (trecho dir.)</t>
        </is>
      </c>
      <c r="E81" s="7" t="n">
        <v>11.216</v>
      </c>
      <c r="F81" s="7" t="n">
        <v>34.136</v>
      </c>
      <c r="G81" s="7" t="n">
        <v>11.216</v>
      </c>
      <c r="H81" s="7" t="n">
        <v>34.936</v>
      </c>
      <c r="I81" s="7" t="n">
        <v>0.8</v>
      </c>
      <c r="J81" s="5" t="inlineStr">
        <is>
          <t>bloco de porta</t>
        </is>
      </c>
    </row>
    <row r="82">
      <c r="A82" s="5" t="inlineStr">
        <is>
          <t>R01</t>
        </is>
      </c>
      <c r="B82" s="5" t="inlineStr">
        <is>
          <t>Circulação Interna</t>
        </is>
      </c>
      <c r="C82" s="5" t="inlineStr">
        <is>
          <t>vão descontado</t>
        </is>
      </c>
      <c r="D82" s="5" t="inlineStr">
        <is>
          <t>P06 — Circulação / Quarto Casal (trecho sup.)</t>
        </is>
      </c>
      <c r="E82" s="7" t="n">
        <v>10.091</v>
      </c>
      <c r="F82" s="7" t="n">
        <v>36.311</v>
      </c>
      <c r="G82" s="7" t="n">
        <v>10.991</v>
      </c>
      <c r="H82" s="7" t="n">
        <v>36.311</v>
      </c>
      <c r="I82" s="7" t="n">
        <v>0.9</v>
      </c>
      <c r="J82" s="5" t="inlineStr">
        <is>
          <t>bloco de porta</t>
        </is>
      </c>
    </row>
    <row r="83">
      <c r="A83" s="5" t="inlineStr">
        <is>
          <t>R01</t>
        </is>
      </c>
      <c r="B83" s="5" t="inlineStr">
        <is>
          <t>Circulação Interna</t>
        </is>
      </c>
      <c r="C83" s="5" t="inlineStr">
        <is>
          <t>vão descontado</t>
        </is>
      </c>
      <c r="D83" s="5" t="inlineStr">
        <is>
          <t>P06 — Circulação / Quarto 02 (trecho esq. sup.)</t>
        </is>
      </c>
      <c r="E83" s="7" t="n">
        <v>9.866</v>
      </c>
      <c r="F83" s="7" t="n">
        <v>33.336</v>
      </c>
      <c r="G83" s="7" t="n">
        <v>9.866</v>
      </c>
      <c r="H83" s="7" t="n">
        <v>34.136</v>
      </c>
      <c r="I83" s="7" t="n">
        <v>0.8</v>
      </c>
      <c r="J83" s="5" t="inlineStr">
        <is>
          <t>bloco de porta</t>
        </is>
      </c>
    </row>
    <row r="84">
      <c r="A84" s="5" t="inlineStr">
        <is>
          <t>R01</t>
        </is>
      </c>
      <c r="B84" s="5" t="inlineStr">
        <is>
          <t>Circulação Interna</t>
        </is>
      </c>
      <c r="C84" s="5" t="inlineStr">
        <is>
          <t>vão descontado</t>
        </is>
      </c>
      <c r="D84" s="5" t="inlineStr">
        <is>
          <t>P06 — Circulação / Quarto 01 (trecho esq. inf.)</t>
        </is>
      </c>
      <c r="E84" s="7" t="n">
        <v>9.866</v>
      </c>
      <c r="F84" s="7" t="n">
        <v>28.886</v>
      </c>
      <c r="G84" s="7" t="n">
        <v>9.866</v>
      </c>
      <c r="H84" s="7" t="n">
        <v>29.686</v>
      </c>
      <c r="I84" s="7" t="n">
        <v>0.8</v>
      </c>
      <c r="J84" s="5" t="inlineStr">
        <is>
          <t>bloco de porta</t>
        </is>
      </c>
    </row>
    <row r="85">
      <c r="A85" s="11" t="inlineStr">
        <is>
          <t>R01</t>
        </is>
      </c>
      <c r="B85" s="11" t="inlineStr">
        <is>
          <t>Circulação Interna</t>
        </is>
      </c>
      <c r="C85" s="11" t="inlineStr">
        <is>
          <t>LÍQUIDO</t>
        </is>
      </c>
      <c r="D85" s="11" t="inlineStr">
        <is>
          <t>soma dos trechos − vãos</t>
        </is>
      </c>
      <c r="E85" s="13" t="inlineStr"/>
      <c r="F85" s="13" t="inlineStr"/>
      <c r="G85" s="13" t="inlineStr"/>
      <c r="H85" s="13" t="inlineStr"/>
      <c r="I85" s="13">
        <f>I79-SUM(I80:I84)</f>
        <v/>
      </c>
      <c r="J85" s="11" t="inlineStr">
        <is>
          <t>Nicho (futura marcenaria) com piso e rodapé, conforme informado</t>
        </is>
      </c>
    </row>
    <row r="86">
      <c r="A86" s="5" t="inlineStr">
        <is>
          <t>R01</t>
        </is>
      </c>
      <c r="B86" s="5" t="inlineStr">
        <is>
          <t>Cozinha</t>
        </is>
      </c>
      <c r="C86" s="5" t="inlineStr">
        <is>
          <t>trecho de parede</t>
        </is>
      </c>
      <c r="D86" s="5" t="inlineStr">
        <is>
          <t>inf.</t>
        </is>
      </c>
      <c r="E86" s="7" t="n">
        <v>5.691</v>
      </c>
      <c r="F86" s="7" t="n">
        <v>22.436</v>
      </c>
      <c r="G86" s="7" t="n">
        <v>9.941000000000001</v>
      </c>
      <c r="H86" s="7" t="n">
        <v>22.436</v>
      </c>
      <c r="I86" s="7" t="n">
        <v>4.25</v>
      </c>
      <c r="J86" s="5" t="inlineStr">
        <is>
          <t>geometria DWG (face interna)</t>
        </is>
      </c>
    </row>
    <row r="87">
      <c r="A87" s="5" t="inlineStr">
        <is>
          <t>R01</t>
        </is>
      </c>
      <c r="B87" s="5" t="inlineStr">
        <is>
          <t>Cozinha</t>
        </is>
      </c>
      <c r="C87" s="5" t="inlineStr">
        <is>
          <t>trecho de parede</t>
        </is>
      </c>
      <c r="D87" s="5" t="inlineStr">
        <is>
          <t>dir.</t>
        </is>
      </c>
      <c r="E87" s="7" t="n">
        <v>9.941000000000001</v>
      </c>
      <c r="F87" s="7" t="n">
        <v>22.436</v>
      </c>
      <c r="G87" s="7" t="n">
        <v>9.941000000000001</v>
      </c>
      <c r="H87" s="7" t="n">
        <v>26.636</v>
      </c>
      <c r="I87" s="7" t="n">
        <v>4.2</v>
      </c>
      <c r="J87" s="5" t="inlineStr">
        <is>
          <t>geometria DWG (face interna)</t>
        </is>
      </c>
    </row>
    <row r="88">
      <c r="A88" s="5" t="inlineStr">
        <is>
          <t>R01</t>
        </is>
      </c>
      <c r="B88" s="5" t="inlineStr">
        <is>
          <t>Cozinha</t>
        </is>
      </c>
      <c r="C88" s="5" t="inlineStr">
        <is>
          <t>trecho de parede</t>
        </is>
      </c>
      <c r="D88" s="5" t="inlineStr">
        <is>
          <t>sup.</t>
        </is>
      </c>
      <c r="E88" s="7" t="n">
        <v>9.941000000000001</v>
      </c>
      <c r="F88" s="7" t="n">
        <v>26.636</v>
      </c>
      <c r="G88" s="7" t="n">
        <v>5.691</v>
      </c>
      <c r="H88" s="7" t="n">
        <v>26.636</v>
      </c>
      <c r="I88" s="7" t="n">
        <v>4.25</v>
      </c>
      <c r="J88" s="5" t="inlineStr">
        <is>
          <t>geometria DWG (face interna)</t>
        </is>
      </c>
    </row>
    <row r="89">
      <c r="A89" s="5" t="inlineStr">
        <is>
          <t>R01</t>
        </is>
      </c>
      <c r="B89" s="5" t="inlineStr">
        <is>
          <t>Cozinha</t>
        </is>
      </c>
      <c r="C89" s="5" t="inlineStr">
        <is>
          <t>trecho de parede</t>
        </is>
      </c>
      <c r="D89" s="5" t="inlineStr">
        <is>
          <t>esq.</t>
        </is>
      </c>
      <c r="E89" s="7" t="n">
        <v>5.691</v>
      </c>
      <c r="F89" s="7" t="n">
        <v>26.636</v>
      </c>
      <c r="G89" s="7" t="n">
        <v>5.691</v>
      </c>
      <c r="H89" s="7" t="n">
        <v>22.436</v>
      </c>
      <c r="I89" s="7" t="n">
        <v>4.2</v>
      </c>
      <c r="J89" s="5" t="inlineStr">
        <is>
          <t>geometria DWG (face interna)</t>
        </is>
      </c>
    </row>
    <row r="90">
      <c r="A90" s="5" t="inlineStr">
        <is>
          <t>R01</t>
        </is>
      </c>
      <c r="B90" s="5" t="inlineStr">
        <is>
          <t>Cozinha</t>
        </is>
      </c>
      <c r="C90" s="5" t="inlineStr">
        <is>
          <t>soma dos trechos</t>
        </is>
      </c>
      <c r="D90" s="5" t="inlineStr"/>
      <c r="E90" s="7" t="inlineStr"/>
      <c r="F90" s="7" t="inlineStr"/>
      <c r="G90" s="7" t="inlineStr"/>
      <c r="H90" s="7" t="inlineStr"/>
      <c r="I90" s="7">
        <f>SUM(I86:I89)</f>
        <v/>
      </c>
      <c r="J90" s="5" t="n"/>
    </row>
    <row r="91">
      <c r="A91" s="5" t="inlineStr">
        <is>
          <t>R01</t>
        </is>
      </c>
      <c r="B91" s="5" t="inlineStr">
        <is>
          <t>Cozinha</t>
        </is>
      </c>
      <c r="C91" s="5" t="inlineStr">
        <is>
          <t>vão descontado</t>
        </is>
      </c>
      <c r="D91" s="5" t="inlineStr">
        <is>
          <t>P06 — Cozinha / Lavanderia (trecho inf.)</t>
        </is>
      </c>
      <c r="E91" s="7" t="n">
        <v>7.391</v>
      </c>
      <c r="F91" s="7" t="n">
        <v>22.361</v>
      </c>
      <c r="G91" s="7" t="n">
        <v>8.191000000000001</v>
      </c>
      <c r="H91" s="7" t="n">
        <v>22.361</v>
      </c>
      <c r="I91" s="7" t="n">
        <v>0.8</v>
      </c>
      <c r="J91" s="5" t="inlineStr">
        <is>
          <t>interrupção de parede</t>
        </is>
      </c>
    </row>
    <row r="92">
      <c r="A92" s="5" t="inlineStr">
        <is>
          <t>R01</t>
        </is>
      </c>
      <c r="B92" s="5" t="inlineStr">
        <is>
          <t>Cozinha</t>
        </is>
      </c>
      <c r="C92" s="5" t="inlineStr">
        <is>
          <t>vão descontado</t>
        </is>
      </c>
      <c r="D92" s="5" t="inlineStr">
        <is>
          <t>P04 — Cozinha / Sala (trecho dir.)</t>
        </is>
      </c>
      <c r="E92" s="7" t="n">
        <v>9.941000000000001</v>
      </c>
      <c r="F92" s="7" t="n">
        <v>22.436</v>
      </c>
      <c r="G92" s="7" t="n">
        <v>9.941000000000001</v>
      </c>
      <c r="H92" s="7" t="n">
        <v>26.636</v>
      </c>
      <c r="I92" s="7" t="n">
        <v>4.2</v>
      </c>
      <c r="J92" s="5" t="inlineStr">
        <is>
          <t>informado (passagem; esquadria não desenhada no DWG)</t>
        </is>
      </c>
    </row>
    <row r="93">
      <c r="A93" s="11" t="inlineStr">
        <is>
          <t>R01</t>
        </is>
      </c>
      <c r="B93" s="11" t="inlineStr">
        <is>
          <t>Cozinha</t>
        </is>
      </c>
      <c r="C93" s="11" t="inlineStr">
        <is>
          <t>LÍQUIDO</t>
        </is>
      </c>
      <c r="D93" s="11" t="inlineStr">
        <is>
          <t>soma dos trechos − vãos</t>
        </is>
      </c>
      <c r="E93" s="13" t="inlineStr"/>
      <c r="F93" s="13" t="inlineStr"/>
      <c r="G93" s="13" t="inlineStr"/>
      <c r="H93" s="13" t="inlineStr"/>
      <c r="I93" s="13">
        <f>I90-SUM(I91:I92)</f>
        <v/>
      </c>
      <c r="J93" s="11" t="inlineStr"/>
    </row>
    <row r="94">
      <c r="A94" s="5" t="inlineStr">
        <is>
          <t>R01</t>
        </is>
      </c>
      <c r="B94" s="5" t="inlineStr">
        <is>
          <t>Lavanderia</t>
        </is>
      </c>
      <c r="C94" s="5" t="inlineStr">
        <is>
          <t>trecho de parede</t>
        </is>
      </c>
      <c r="D94" s="5" t="inlineStr">
        <is>
          <t>inf.</t>
        </is>
      </c>
      <c r="E94" s="7" t="n">
        <v>5.691</v>
      </c>
      <c r="F94" s="7" t="n">
        <v>20.286</v>
      </c>
      <c r="G94" s="7" t="n">
        <v>8.441000000000001</v>
      </c>
      <c r="H94" s="7" t="n">
        <v>20.286</v>
      </c>
      <c r="I94" s="7" t="n">
        <v>2.75</v>
      </c>
      <c r="J94" s="5" t="inlineStr">
        <is>
          <t>geometria DWG (face interna)</t>
        </is>
      </c>
    </row>
    <row r="95">
      <c r="A95" s="5" t="inlineStr">
        <is>
          <t>R01</t>
        </is>
      </c>
      <c r="B95" s="5" t="inlineStr">
        <is>
          <t>Lavanderia</t>
        </is>
      </c>
      <c r="C95" s="5" t="inlineStr">
        <is>
          <t>trecho de parede</t>
        </is>
      </c>
      <c r="D95" s="5" t="inlineStr">
        <is>
          <t>dir.</t>
        </is>
      </c>
      <c r="E95" s="7" t="n">
        <v>8.441000000000001</v>
      </c>
      <c r="F95" s="7" t="n">
        <v>20.286</v>
      </c>
      <c r="G95" s="7" t="n">
        <v>8.441000000000001</v>
      </c>
      <c r="H95" s="7" t="n">
        <v>22.286</v>
      </c>
      <c r="I95" s="7" t="n">
        <v>2</v>
      </c>
      <c r="J95" s="5" t="inlineStr">
        <is>
          <t>geometria DWG (face interna)</t>
        </is>
      </c>
    </row>
    <row r="96">
      <c r="A96" s="5" t="inlineStr">
        <is>
          <t>R01</t>
        </is>
      </c>
      <c r="B96" s="5" t="inlineStr">
        <is>
          <t>Lavanderia</t>
        </is>
      </c>
      <c r="C96" s="5" t="inlineStr">
        <is>
          <t>trecho de parede</t>
        </is>
      </c>
      <c r="D96" s="5" t="inlineStr">
        <is>
          <t>sup.</t>
        </is>
      </c>
      <c r="E96" s="7" t="n">
        <v>8.441000000000001</v>
      </c>
      <c r="F96" s="7" t="n">
        <v>22.286</v>
      </c>
      <c r="G96" s="7" t="n">
        <v>5.691</v>
      </c>
      <c r="H96" s="7" t="n">
        <v>22.286</v>
      </c>
      <c r="I96" s="7" t="n">
        <v>2.75</v>
      </c>
      <c r="J96" s="5" t="inlineStr">
        <is>
          <t>geometria DWG (face interna)</t>
        </is>
      </c>
    </row>
    <row r="97">
      <c r="A97" s="5" t="inlineStr">
        <is>
          <t>R01</t>
        </is>
      </c>
      <c r="B97" s="5" t="inlineStr">
        <is>
          <t>Lavanderia</t>
        </is>
      </c>
      <c r="C97" s="5" t="inlineStr">
        <is>
          <t>trecho de parede</t>
        </is>
      </c>
      <c r="D97" s="5" t="inlineStr">
        <is>
          <t>esq.</t>
        </is>
      </c>
      <c r="E97" s="7" t="n">
        <v>5.691</v>
      </c>
      <c r="F97" s="7" t="n">
        <v>22.286</v>
      </c>
      <c r="G97" s="7" t="n">
        <v>5.691</v>
      </c>
      <c r="H97" s="7" t="n">
        <v>20.286</v>
      </c>
      <c r="I97" s="7" t="n">
        <v>2</v>
      </c>
      <c r="J97" s="5" t="inlineStr">
        <is>
          <t>geometria DWG (face interna)</t>
        </is>
      </c>
    </row>
    <row r="98">
      <c r="A98" s="5" t="inlineStr">
        <is>
          <t>R01</t>
        </is>
      </c>
      <c r="B98" s="5" t="inlineStr">
        <is>
          <t>Lavanderia</t>
        </is>
      </c>
      <c r="C98" s="5" t="inlineStr">
        <is>
          <t>soma dos trechos</t>
        </is>
      </c>
      <c r="D98" s="5" t="inlineStr"/>
      <c r="E98" s="7" t="inlineStr"/>
      <c r="F98" s="7" t="inlineStr"/>
      <c r="G98" s="7" t="inlineStr"/>
      <c r="H98" s="7" t="inlineStr"/>
      <c r="I98" s="7">
        <f>SUM(I94:I97)</f>
        <v/>
      </c>
      <c r="J98" s="5" t="n"/>
    </row>
    <row r="99">
      <c r="A99" s="5" t="inlineStr">
        <is>
          <t>R01</t>
        </is>
      </c>
      <c r="B99" s="5" t="inlineStr">
        <is>
          <t>Lavanderia</t>
        </is>
      </c>
      <c r="C99" s="5" t="inlineStr">
        <is>
          <t>vão descontado</t>
        </is>
      </c>
      <c r="D99" s="5" t="inlineStr">
        <is>
          <t>P06 — Cozinha / Lavanderia (trecho sup.)</t>
        </is>
      </c>
      <c r="E99" s="7" t="n">
        <v>7.391</v>
      </c>
      <c r="F99" s="7" t="n">
        <v>22.361</v>
      </c>
      <c r="G99" s="7" t="n">
        <v>8.191000000000001</v>
      </c>
      <c r="H99" s="7" t="n">
        <v>22.361</v>
      </c>
      <c r="I99" s="7" t="n">
        <v>0.8</v>
      </c>
      <c r="J99" s="5" t="inlineStr">
        <is>
          <t>interrupção de parede</t>
        </is>
      </c>
    </row>
    <row r="100">
      <c r="A100" s="5" t="inlineStr">
        <is>
          <t>R01</t>
        </is>
      </c>
      <c r="B100" s="5" t="inlineStr">
        <is>
          <t>Lavanderia</t>
        </is>
      </c>
      <c r="C100" s="5" t="inlineStr">
        <is>
          <t>vão descontado</t>
        </is>
      </c>
      <c r="D100" s="5" t="inlineStr">
        <is>
          <t>P06 — Lavanderia / Depósito (trecho dir.)</t>
        </is>
      </c>
      <c r="E100" s="7" t="n">
        <v>8.516</v>
      </c>
      <c r="F100" s="7" t="n">
        <v>21.486</v>
      </c>
      <c r="G100" s="7" t="n">
        <v>8.516</v>
      </c>
      <c r="H100" s="7" t="n">
        <v>22.186</v>
      </c>
      <c r="I100" s="7" t="n">
        <v>0.7</v>
      </c>
      <c r="J100" s="5" t="inlineStr">
        <is>
          <t>bloco de porta</t>
        </is>
      </c>
    </row>
    <row r="101">
      <c r="A101" s="5" t="inlineStr">
        <is>
          <t>R01</t>
        </is>
      </c>
      <c r="B101" s="5" t="inlineStr">
        <is>
          <t>Lavanderia</t>
        </is>
      </c>
      <c r="C101" s="5" t="inlineStr">
        <is>
          <t>vão descontado</t>
        </is>
      </c>
      <c r="D101" s="5" t="inlineStr">
        <is>
          <t>P07 — Lavanderia / Corredor Lateral (trecho esq.)</t>
        </is>
      </c>
      <c r="E101" s="7" t="n">
        <v>5.616</v>
      </c>
      <c r="F101" s="7" t="n">
        <v>20.386</v>
      </c>
      <c r="G101" s="7" t="n">
        <v>5.616</v>
      </c>
      <c r="H101" s="7" t="n">
        <v>22.186</v>
      </c>
      <c r="I101" s="7" t="n">
        <v>1.8</v>
      </c>
      <c r="J101" s="5" t="inlineStr">
        <is>
          <t>caixilho DWG</t>
        </is>
      </c>
    </row>
    <row r="102">
      <c r="A102" s="11" t="inlineStr">
        <is>
          <t>R01</t>
        </is>
      </c>
      <c r="B102" s="11" t="inlineStr">
        <is>
          <t>Lavanderia</t>
        </is>
      </c>
      <c r="C102" s="11" t="inlineStr">
        <is>
          <t>LÍQUIDO</t>
        </is>
      </c>
      <c r="D102" s="11" t="inlineStr">
        <is>
          <t>soma dos trechos − vãos</t>
        </is>
      </c>
      <c r="E102" s="13" t="inlineStr"/>
      <c r="F102" s="13" t="inlineStr"/>
      <c r="G102" s="13" t="inlineStr"/>
      <c r="H102" s="13" t="inlineStr"/>
      <c r="I102" s="13">
        <f>I98-SUM(I99:I101)</f>
        <v/>
      </c>
      <c r="J102" s="11" t="inlineStr"/>
    </row>
    <row r="103">
      <c r="A103" s="5" t="inlineStr">
        <is>
          <t>R01</t>
        </is>
      </c>
      <c r="B103" s="5" t="inlineStr">
        <is>
          <t>Depósito</t>
        </is>
      </c>
      <c r="C103" s="5" t="inlineStr">
        <is>
          <t>trecho de parede</t>
        </is>
      </c>
      <c r="D103" s="5" t="inlineStr">
        <is>
          <t>inf.</t>
        </is>
      </c>
      <c r="E103" s="7" t="n">
        <v>8.590999999999999</v>
      </c>
      <c r="F103" s="7" t="n">
        <v>20.286</v>
      </c>
      <c r="G103" s="7" t="n">
        <v>9.791</v>
      </c>
      <c r="H103" s="7" t="n">
        <v>20.286</v>
      </c>
      <c r="I103" s="7" t="n">
        <v>1.2</v>
      </c>
      <c r="J103" s="5" t="inlineStr">
        <is>
          <t>geometria DWG (face interna)</t>
        </is>
      </c>
    </row>
    <row r="104">
      <c r="A104" s="5" t="inlineStr">
        <is>
          <t>R01</t>
        </is>
      </c>
      <c r="B104" s="5" t="inlineStr">
        <is>
          <t>Depósito</t>
        </is>
      </c>
      <c r="C104" s="5" t="inlineStr">
        <is>
          <t>trecho de parede</t>
        </is>
      </c>
      <c r="D104" s="5" t="inlineStr">
        <is>
          <t>dir.</t>
        </is>
      </c>
      <c r="E104" s="7" t="n">
        <v>9.791</v>
      </c>
      <c r="F104" s="7" t="n">
        <v>20.286</v>
      </c>
      <c r="G104" s="7" t="n">
        <v>9.791</v>
      </c>
      <c r="H104" s="7" t="n">
        <v>22.286</v>
      </c>
      <c r="I104" s="7" t="n">
        <v>2</v>
      </c>
      <c r="J104" s="5" t="inlineStr">
        <is>
          <t>geometria DWG (face interna)</t>
        </is>
      </c>
    </row>
    <row r="105">
      <c r="A105" s="5" t="inlineStr">
        <is>
          <t>R01</t>
        </is>
      </c>
      <c r="B105" s="5" t="inlineStr">
        <is>
          <t>Depósito</t>
        </is>
      </c>
      <c r="C105" s="5" t="inlineStr">
        <is>
          <t>trecho de parede</t>
        </is>
      </c>
      <c r="D105" s="5" t="inlineStr">
        <is>
          <t>sup.</t>
        </is>
      </c>
      <c r="E105" s="7" t="n">
        <v>9.791</v>
      </c>
      <c r="F105" s="7" t="n">
        <v>22.286</v>
      </c>
      <c r="G105" s="7" t="n">
        <v>8.590999999999999</v>
      </c>
      <c r="H105" s="7" t="n">
        <v>22.286</v>
      </c>
      <c r="I105" s="7" t="n">
        <v>1.2</v>
      </c>
      <c r="J105" s="5" t="inlineStr">
        <is>
          <t>geometria DWG (face interna)</t>
        </is>
      </c>
    </row>
    <row r="106">
      <c r="A106" s="5" t="inlineStr">
        <is>
          <t>R01</t>
        </is>
      </c>
      <c r="B106" s="5" t="inlineStr">
        <is>
          <t>Depósito</t>
        </is>
      </c>
      <c r="C106" s="5" t="inlineStr">
        <is>
          <t>trecho de parede</t>
        </is>
      </c>
      <c r="D106" s="5" t="inlineStr">
        <is>
          <t>esq.</t>
        </is>
      </c>
      <c r="E106" s="7" t="n">
        <v>8.590999999999999</v>
      </c>
      <c r="F106" s="7" t="n">
        <v>22.286</v>
      </c>
      <c r="G106" s="7" t="n">
        <v>8.590999999999999</v>
      </c>
      <c r="H106" s="7" t="n">
        <v>20.286</v>
      </c>
      <c r="I106" s="7" t="n">
        <v>2</v>
      </c>
      <c r="J106" s="5" t="inlineStr">
        <is>
          <t>geometria DWG (face interna)</t>
        </is>
      </c>
    </row>
    <row r="107">
      <c r="A107" s="5" t="inlineStr">
        <is>
          <t>R01</t>
        </is>
      </c>
      <c r="B107" s="5" t="inlineStr">
        <is>
          <t>Depósito</t>
        </is>
      </c>
      <c r="C107" s="5" t="inlineStr">
        <is>
          <t>soma dos trechos</t>
        </is>
      </c>
      <c r="D107" s="5" t="inlineStr"/>
      <c r="E107" s="7" t="inlineStr"/>
      <c r="F107" s="7" t="inlineStr"/>
      <c r="G107" s="7" t="inlineStr"/>
      <c r="H107" s="7" t="inlineStr"/>
      <c r="I107" s="7">
        <f>SUM(I103:I106)</f>
        <v/>
      </c>
      <c r="J107" s="5" t="n"/>
    </row>
    <row r="108">
      <c r="A108" s="5" t="inlineStr">
        <is>
          <t>R01</t>
        </is>
      </c>
      <c r="B108" s="5" t="inlineStr">
        <is>
          <t>Depósito</t>
        </is>
      </c>
      <c r="C108" s="5" t="inlineStr">
        <is>
          <t>vão descontado</t>
        </is>
      </c>
      <c r="D108" s="5" t="inlineStr">
        <is>
          <t>P06 — Lavanderia / Depósito (trecho esq.)</t>
        </is>
      </c>
      <c r="E108" s="7" t="n">
        <v>8.516</v>
      </c>
      <c r="F108" s="7" t="n">
        <v>21.486</v>
      </c>
      <c r="G108" s="7" t="n">
        <v>8.516</v>
      </c>
      <c r="H108" s="7" t="n">
        <v>22.186</v>
      </c>
      <c r="I108" s="7" t="n">
        <v>0.7</v>
      </c>
      <c r="J108" s="5" t="inlineStr">
        <is>
          <t>bloco de porta</t>
        </is>
      </c>
    </row>
    <row r="109">
      <c r="A109" s="11" t="inlineStr">
        <is>
          <t>R01</t>
        </is>
      </c>
      <c r="B109" s="11" t="inlineStr">
        <is>
          <t>Depósito</t>
        </is>
      </c>
      <c r="C109" s="11" t="inlineStr">
        <is>
          <t>LÍQUIDO</t>
        </is>
      </c>
      <c r="D109" s="11" t="inlineStr">
        <is>
          <t>soma dos trechos − vãos</t>
        </is>
      </c>
      <c r="E109" s="13" t="inlineStr"/>
      <c r="F109" s="13" t="inlineStr"/>
      <c r="G109" s="13" t="inlineStr"/>
      <c r="H109" s="13" t="inlineStr"/>
      <c r="I109" s="13">
        <f>I107-SUM(I108:I108)</f>
        <v/>
      </c>
      <c r="J109" s="11" t="inlineStr"/>
    </row>
    <row r="110">
      <c r="A110" s="5" t="inlineStr">
        <is>
          <t>R01</t>
        </is>
      </c>
      <c r="B110" s="5" t="inlineStr">
        <is>
          <t>Sala TV / Sala Jantar</t>
        </is>
      </c>
      <c r="C110" s="5" t="inlineStr">
        <is>
          <t>trecho de parede</t>
        </is>
      </c>
      <c r="D110" s="5" t="inlineStr">
        <is>
          <t>inf. esq.</t>
        </is>
      </c>
      <c r="E110" s="7" t="n">
        <v>9.941000000000001</v>
      </c>
      <c r="F110" s="7" t="n">
        <v>20.286</v>
      </c>
      <c r="G110" s="7" t="n">
        <v>11.591</v>
      </c>
      <c r="H110" s="7" t="n">
        <v>20.286</v>
      </c>
      <c r="I110" s="7" t="n">
        <v>1.65</v>
      </c>
      <c r="J110" s="5" t="inlineStr">
        <is>
          <t>geometria DWG (face interna)</t>
        </is>
      </c>
    </row>
    <row r="111">
      <c r="A111" s="5" t="inlineStr">
        <is>
          <t>R01</t>
        </is>
      </c>
      <c r="B111" s="5" t="inlineStr">
        <is>
          <t>Sala TV / Sala Jantar</t>
        </is>
      </c>
      <c r="C111" s="5" t="inlineStr">
        <is>
          <t>trecho de parede</t>
        </is>
      </c>
      <c r="D111" s="5" t="inlineStr">
        <is>
          <t>recuo</t>
        </is>
      </c>
      <c r="E111" s="7" t="n">
        <v>11.591</v>
      </c>
      <c r="F111" s="7" t="n">
        <v>20.286</v>
      </c>
      <c r="G111" s="7" t="n">
        <v>11.591</v>
      </c>
      <c r="H111" s="7" t="n">
        <v>19.686</v>
      </c>
      <c r="I111" s="7" t="n">
        <v>0.6</v>
      </c>
      <c r="J111" s="5" t="inlineStr">
        <is>
          <t>geometria DWG (face interna)</t>
        </is>
      </c>
    </row>
    <row r="112">
      <c r="A112" s="5" t="inlineStr">
        <is>
          <t>R01</t>
        </is>
      </c>
      <c r="B112" s="5" t="inlineStr">
        <is>
          <t>Sala TV / Sala Jantar</t>
        </is>
      </c>
      <c r="C112" s="5" t="inlineStr">
        <is>
          <t>trecho de parede</t>
        </is>
      </c>
      <c r="D112" s="5" t="inlineStr">
        <is>
          <t>inf. dir.</t>
        </is>
      </c>
      <c r="E112" s="7" t="n">
        <v>11.591</v>
      </c>
      <c r="F112" s="7" t="n">
        <v>19.686</v>
      </c>
      <c r="G112" s="7" t="n">
        <v>15.191</v>
      </c>
      <c r="H112" s="7" t="n">
        <v>19.686</v>
      </c>
      <c r="I112" s="7" t="n">
        <v>3.6</v>
      </c>
      <c r="J112" s="5" t="inlineStr">
        <is>
          <t>geometria DWG (face interna)</t>
        </is>
      </c>
    </row>
    <row r="113">
      <c r="A113" s="5" t="inlineStr">
        <is>
          <t>R01</t>
        </is>
      </c>
      <c r="B113" s="5" t="inlineStr">
        <is>
          <t>Sala TV / Sala Jantar</t>
        </is>
      </c>
      <c r="C113" s="5" t="inlineStr">
        <is>
          <t>trecho de parede</t>
        </is>
      </c>
      <c r="D113" s="5" t="inlineStr">
        <is>
          <t>dir.</t>
        </is>
      </c>
      <c r="E113" s="7" t="n">
        <v>15.191</v>
      </c>
      <c r="F113" s="7" t="n">
        <v>19.686</v>
      </c>
      <c r="G113" s="7" t="n">
        <v>15.191</v>
      </c>
      <c r="H113" s="7" t="n">
        <v>27.686</v>
      </c>
      <c r="I113" s="7" t="n">
        <v>8</v>
      </c>
      <c r="J113" s="5" t="inlineStr">
        <is>
          <t>geometria DWG (face interna)</t>
        </is>
      </c>
    </row>
    <row r="114">
      <c r="A114" s="5" t="inlineStr">
        <is>
          <t>R01</t>
        </is>
      </c>
      <c r="B114" s="5" t="inlineStr">
        <is>
          <t>Sala TV / Sala Jantar</t>
        </is>
      </c>
      <c r="C114" s="5" t="inlineStr">
        <is>
          <t>trecho de parede</t>
        </is>
      </c>
      <c r="D114" s="5" t="inlineStr">
        <is>
          <t>sup.</t>
        </is>
      </c>
      <c r="E114" s="7" t="n">
        <v>15.191</v>
      </c>
      <c r="F114" s="7" t="n">
        <v>27.686</v>
      </c>
      <c r="G114" s="7" t="n">
        <v>9.941000000000001</v>
      </c>
      <c r="H114" s="7" t="n">
        <v>27.686</v>
      </c>
      <c r="I114" s="7" t="n">
        <v>5.25</v>
      </c>
      <c r="J114" s="5" t="inlineStr">
        <is>
          <t>geometria DWG (face interna)</t>
        </is>
      </c>
    </row>
    <row r="115">
      <c r="A115" s="5" t="inlineStr">
        <is>
          <t>R01</t>
        </is>
      </c>
      <c r="B115" s="5" t="inlineStr">
        <is>
          <t>Sala TV / Sala Jantar</t>
        </is>
      </c>
      <c r="C115" s="5" t="inlineStr">
        <is>
          <t>trecho de parede</t>
        </is>
      </c>
      <c r="D115" s="5" t="inlineStr">
        <is>
          <t>esq.</t>
        </is>
      </c>
      <c r="E115" s="7" t="n">
        <v>9.941000000000001</v>
      </c>
      <c r="F115" s="7" t="n">
        <v>27.686</v>
      </c>
      <c r="G115" s="7" t="n">
        <v>9.941000000000001</v>
      </c>
      <c r="H115" s="7" t="n">
        <v>20.286</v>
      </c>
      <c r="I115" s="7" t="n">
        <v>7.4</v>
      </c>
      <c r="J115" s="5" t="inlineStr">
        <is>
          <t>geometria DWG (face interna)</t>
        </is>
      </c>
    </row>
    <row r="116">
      <c r="A116" s="5" t="inlineStr">
        <is>
          <t>R01</t>
        </is>
      </c>
      <c r="B116" s="5" t="inlineStr">
        <is>
          <t>Sala TV / Sala Jantar</t>
        </is>
      </c>
      <c r="C116" s="5" t="inlineStr">
        <is>
          <t>soma dos trechos</t>
        </is>
      </c>
      <c r="D116" s="5" t="inlineStr"/>
      <c r="E116" s="7" t="inlineStr"/>
      <c r="F116" s="7" t="inlineStr"/>
      <c r="G116" s="7" t="inlineStr"/>
      <c r="H116" s="7" t="inlineStr"/>
      <c r="I116" s="7">
        <f>SUM(I110:I115)</f>
        <v/>
      </c>
      <c r="J116" s="5" t="n"/>
    </row>
    <row r="117">
      <c r="A117" s="5" t="inlineStr">
        <is>
          <t>R01</t>
        </is>
      </c>
      <c r="B117" s="5" t="inlineStr">
        <is>
          <t>Sala TV / Sala Jantar</t>
        </is>
      </c>
      <c r="C117" s="5" t="inlineStr">
        <is>
          <t>vão descontado</t>
        </is>
      </c>
      <c r="D117" s="5" t="inlineStr">
        <is>
          <t>P01 — Garagem / Sala (trecho inf. esq.)</t>
        </is>
      </c>
      <c r="E117" s="7" t="n">
        <v>10.094</v>
      </c>
      <c r="F117" s="7" t="n">
        <v>20.211</v>
      </c>
      <c r="G117" s="7" t="n">
        <v>11.294</v>
      </c>
      <c r="H117" s="7" t="n">
        <v>20.211</v>
      </c>
      <c r="I117" s="7" t="n">
        <v>1.2</v>
      </c>
      <c r="J117" s="5" t="inlineStr">
        <is>
          <t>bloco de porta</t>
        </is>
      </c>
    </row>
    <row r="118">
      <c r="A118" s="5" t="inlineStr">
        <is>
          <t>R01</t>
        </is>
      </c>
      <c r="B118" s="5" t="inlineStr">
        <is>
          <t>Sala TV / Sala Jantar</t>
        </is>
      </c>
      <c r="C118" s="5" t="inlineStr">
        <is>
          <t>vão descontado</t>
        </is>
      </c>
      <c r="D118" s="5" t="inlineStr">
        <is>
          <t>P05 — Sala / Deck (trecho dir.)</t>
        </is>
      </c>
      <c r="E118" s="7" t="n">
        <v>15.266</v>
      </c>
      <c r="F118" s="7" t="n">
        <v>24.436</v>
      </c>
      <c r="G118" s="7" t="n">
        <v>15.266</v>
      </c>
      <c r="H118" s="7" t="n">
        <v>27.436</v>
      </c>
      <c r="I118" s="7" t="n">
        <v>3</v>
      </c>
      <c r="J118" s="5" t="inlineStr">
        <is>
          <t>soleira DWG</t>
        </is>
      </c>
    </row>
    <row r="119">
      <c r="A119" s="5" t="inlineStr">
        <is>
          <t>R01</t>
        </is>
      </c>
      <c r="B119" s="5" t="inlineStr">
        <is>
          <t>Sala TV / Sala Jantar</t>
        </is>
      </c>
      <c r="C119" s="5" t="inlineStr">
        <is>
          <t>vão descontado</t>
        </is>
      </c>
      <c r="D119" s="5" t="inlineStr">
        <is>
          <t>P05 — Sala / Varanda Gourmet (trecho sup.)</t>
        </is>
      </c>
      <c r="E119" s="7" t="n">
        <v>11.991</v>
      </c>
      <c r="F119" s="7" t="n">
        <v>27.761</v>
      </c>
      <c r="G119" s="7" t="n">
        <v>14.991</v>
      </c>
      <c r="H119" s="7" t="n">
        <v>27.761</v>
      </c>
      <c r="I119" s="7" t="n">
        <v>3</v>
      </c>
      <c r="J119" s="5" t="inlineStr">
        <is>
          <t>soleira DWG</t>
        </is>
      </c>
    </row>
    <row r="120">
      <c r="A120" s="5" t="inlineStr">
        <is>
          <t>R01</t>
        </is>
      </c>
      <c r="B120" s="5" t="inlineStr">
        <is>
          <t>Sala TV / Sala Jantar</t>
        </is>
      </c>
      <c r="C120" s="5" t="inlineStr">
        <is>
          <t>vão descontado</t>
        </is>
      </c>
      <c r="D120" s="5" t="inlineStr">
        <is>
          <t>P06 — Circulação / Sala (trecho sup.)</t>
        </is>
      </c>
      <c r="E120" s="7" t="n">
        <v>10.041</v>
      </c>
      <c r="F120" s="7" t="n">
        <v>27.761</v>
      </c>
      <c r="G120" s="7" t="n">
        <v>10.941</v>
      </c>
      <c r="H120" s="7" t="n">
        <v>27.761</v>
      </c>
      <c r="I120" s="7" t="n">
        <v>0.9</v>
      </c>
      <c r="J120" s="5" t="inlineStr">
        <is>
          <t>bloco de porta</t>
        </is>
      </c>
    </row>
    <row r="121">
      <c r="A121" s="5" t="inlineStr">
        <is>
          <t>R01</t>
        </is>
      </c>
      <c r="B121" s="5" t="inlineStr">
        <is>
          <t>Sala TV / Sala Jantar</t>
        </is>
      </c>
      <c r="C121" s="5" t="inlineStr">
        <is>
          <t>vão descontado</t>
        </is>
      </c>
      <c r="D121" s="5" t="inlineStr">
        <is>
          <t>P04 — Cozinha / Sala (trecho esq.)</t>
        </is>
      </c>
      <c r="E121" s="7" t="n">
        <v>9.941000000000001</v>
      </c>
      <c r="F121" s="7" t="n">
        <v>22.436</v>
      </c>
      <c r="G121" s="7" t="n">
        <v>9.941000000000001</v>
      </c>
      <c r="H121" s="7" t="n">
        <v>26.636</v>
      </c>
      <c r="I121" s="7" t="n">
        <v>4.2</v>
      </c>
      <c r="J121" s="5" t="inlineStr">
        <is>
          <t>informado (passagem; esquadria não desenhada no DWG)</t>
        </is>
      </c>
    </row>
    <row r="122">
      <c r="A122" s="11" t="inlineStr">
        <is>
          <t>R01</t>
        </is>
      </c>
      <c r="B122" s="11" t="inlineStr">
        <is>
          <t>Sala TV / Sala Jantar</t>
        </is>
      </c>
      <c r="C122" s="11" t="inlineStr">
        <is>
          <t>LÍQUIDO</t>
        </is>
      </c>
      <c r="D122" s="11" t="inlineStr">
        <is>
          <t>soma dos trechos − vãos</t>
        </is>
      </c>
      <c r="E122" s="13" t="inlineStr"/>
      <c r="F122" s="13" t="inlineStr"/>
      <c r="G122" s="13" t="inlineStr"/>
      <c r="H122" s="13" t="inlineStr"/>
      <c r="I122" s="13">
        <f>I116-SUM(I117:I121)</f>
        <v/>
      </c>
      <c r="J122" s="11" t="inlineStr">
        <is>
          <t>J01 (peitoril 0,50) não descontada</t>
        </is>
      </c>
    </row>
    <row r="123">
      <c r="A123" s="5" t="inlineStr">
        <is>
          <t>R01</t>
        </is>
      </c>
      <c r="B123" s="5" t="inlineStr">
        <is>
          <t>Garagem</t>
        </is>
      </c>
      <c r="C123" s="5" t="inlineStr">
        <is>
          <t>trecho de parede</t>
        </is>
      </c>
      <c r="D123" s="5" t="inlineStr">
        <is>
          <t>esq.</t>
        </is>
      </c>
      <c r="E123" s="7" t="n">
        <v>4.191</v>
      </c>
      <c r="F123" s="7" t="n">
        <v>15.036</v>
      </c>
      <c r="G123" s="7" t="n">
        <v>4.191</v>
      </c>
      <c r="H123" s="7" t="n">
        <v>20.136</v>
      </c>
      <c r="I123" s="7" t="n">
        <v>5.1</v>
      </c>
      <c r="J123" s="5" t="inlineStr">
        <is>
          <t>geometria DWG (face interna)</t>
        </is>
      </c>
    </row>
    <row r="124">
      <c r="A124" s="5" t="inlineStr">
        <is>
          <t>R01</t>
        </is>
      </c>
      <c r="B124" s="5" t="inlineStr">
        <is>
          <t>Garagem</t>
        </is>
      </c>
      <c r="C124" s="5" t="inlineStr">
        <is>
          <t>trecho de parede</t>
        </is>
      </c>
      <c r="D124" s="5" t="inlineStr">
        <is>
          <t>sup.</t>
        </is>
      </c>
      <c r="E124" s="7" t="n">
        <v>4.191</v>
      </c>
      <c r="F124" s="7" t="n">
        <v>20.136</v>
      </c>
      <c r="G124" s="7" t="n">
        <v>11.441</v>
      </c>
      <c r="H124" s="7" t="n">
        <v>20.136</v>
      </c>
      <c r="I124" s="7" t="n">
        <v>7.25</v>
      </c>
      <c r="J124" s="5" t="inlineStr">
        <is>
          <t>geometria DWG (face interna)</t>
        </is>
      </c>
    </row>
    <row r="125">
      <c r="A125" s="5" t="inlineStr">
        <is>
          <t>R01</t>
        </is>
      </c>
      <c r="B125" s="5" t="inlineStr">
        <is>
          <t>Garagem</t>
        </is>
      </c>
      <c r="C125" s="5" t="inlineStr">
        <is>
          <t>trecho de parede</t>
        </is>
      </c>
      <c r="D125" s="5" t="inlineStr">
        <is>
          <t>pilar dir.</t>
        </is>
      </c>
      <c r="E125" s="7" t="n">
        <v>11.441</v>
      </c>
      <c r="F125" s="7" t="n">
        <v>20.136</v>
      </c>
      <c r="G125" s="7" t="n">
        <v>11.441</v>
      </c>
      <c r="H125" s="7" t="n">
        <v>19.536</v>
      </c>
      <c r="I125" s="7" t="n">
        <v>0.6</v>
      </c>
      <c r="J125" s="5" t="inlineStr">
        <is>
          <t>geometria DWG (face interna)</t>
        </is>
      </c>
    </row>
    <row r="126">
      <c r="A126" s="5" t="inlineStr">
        <is>
          <t>R01</t>
        </is>
      </c>
      <c r="B126" s="5" t="inlineStr">
        <is>
          <t>Garagem</t>
        </is>
      </c>
      <c r="C126" s="5" t="inlineStr">
        <is>
          <t>trecho de parede</t>
        </is>
      </c>
      <c r="D126" s="5" t="inlineStr">
        <is>
          <t>pilar inf.</t>
        </is>
      </c>
      <c r="E126" s="7" t="n">
        <v>11.441</v>
      </c>
      <c r="F126" s="7" t="n">
        <v>19.536</v>
      </c>
      <c r="G126" s="7" t="n">
        <v>11.591</v>
      </c>
      <c r="H126" s="7" t="n">
        <v>19.536</v>
      </c>
      <c r="I126" s="7" t="n">
        <v>0.15</v>
      </c>
      <c r="J126" s="5" t="inlineStr">
        <is>
          <t>geometria DWG (face interna)</t>
        </is>
      </c>
    </row>
    <row r="127">
      <c r="A127" s="5" t="inlineStr">
        <is>
          <t>R01</t>
        </is>
      </c>
      <c r="B127" s="5" t="inlineStr">
        <is>
          <t>Garagem</t>
        </is>
      </c>
      <c r="C127" s="5" t="inlineStr">
        <is>
          <t>soma dos trechos</t>
        </is>
      </c>
      <c r="D127" s="5" t="inlineStr"/>
      <c r="E127" s="7" t="inlineStr"/>
      <c r="F127" s="7" t="inlineStr"/>
      <c r="G127" s="7" t="inlineStr"/>
      <c r="H127" s="7" t="inlineStr"/>
      <c r="I127" s="7">
        <f>SUM(I123:I126)</f>
        <v/>
      </c>
      <c r="J127" s="5" t="n"/>
    </row>
    <row r="128">
      <c r="A128" s="5" t="inlineStr">
        <is>
          <t>R01</t>
        </is>
      </c>
      <c r="B128" s="5" t="inlineStr">
        <is>
          <t>Garagem</t>
        </is>
      </c>
      <c r="C128" s="5" t="inlineStr">
        <is>
          <t>vão descontado</t>
        </is>
      </c>
      <c r="D128" s="5" t="inlineStr">
        <is>
          <t>P02 — Garagem / Corredor Lateral (trecho sup.)</t>
        </is>
      </c>
      <c r="E128" s="7" t="n">
        <v>4.341</v>
      </c>
      <c r="F128" s="7" t="n">
        <v>20.211</v>
      </c>
      <c r="G128" s="7" t="n">
        <v>5.141</v>
      </c>
      <c r="H128" s="7" t="n">
        <v>20.211</v>
      </c>
      <c r="I128" s="7" t="n">
        <v>0.8</v>
      </c>
      <c r="J128" s="5" t="inlineStr">
        <is>
          <t>bloco de porta</t>
        </is>
      </c>
    </row>
    <row r="129">
      <c r="A129" s="5" t="inlineStr">
        <is>
          <t>R01</t>
        </is>
      </c>
      <c r="B129" s="5" t="inlineStr">
        <is>
          <t>Garagem</t>
        </is>
      </c>
      <c r="C129" s="5" t="inlineStr">
        <is>
          <t>vão descontado</t>
        </is>
      </c>
      <c r="D129" s="5" t="inlineStr">
        <is>
          <t>P01 — Garagem / Sala (trecho sup.)</t>
        </is>
      </c>
      <c r="E129" s="7" t="n">
        <v>10.094</v>
      </c>
      <c r="F129" s="7" t="n">
        <v>20.211</v>
      </c>
      <c r="G129" s="7" t="n">
        <v>11.294</v>
      </c>
      <c r="H129" s="7" t="n">
        <v>20.211</v>
      </c>
      <c r="I129" s="7" t="n">
        <v>1.2</v>
      </c>
      <c r="J129" s="5" t="inlineStr">
        <is>
          <t>bloco de porta</t>
        </is>
      </c>
    </row>
    <row r="130">
      <c r="A130" s="11" t="inlineStr">
        <is>
          <t>R01</t>
        </is>
      </c>
      <c r="B130" s="11" t="inlineStr">
        <is>
          <t>Garagem</t>
        </is>
      </c>
      <c r="C130" s="11" t="inlineStr">
        <is>
          <t>LÍQUIDO</t>
        </is>
      </c>
      <c r="D130" s="11" t="inlineStr">
        <is>
          <t>soma dos trechos − vãos</t>
        </is>
      </c>
      <c r="E130" s="13" t="inlineStr"/>
      <c r="F130" s="13" t="inlineStr"/>
      <c r="G130" s="13" t="inlineStr"/>
      <c r="H130" s="13" t="inlineStr"/>
      <c r="I130" s="13">
        <f>I127-SUM(I128:I129)</f>
        <v/>
      </c>
      <c r="J130" s="11" t="inlineStr">
        <is>
          <t>Frente (7,40) e lateral direita (4,50) abertas no DWG: sem rodapé</t>
        </is>
      </c>
    </row>
    <row r="131">
      <c r="A131" s="8" t="inlineStr"/>
      <c r="B131" s="8" t="inlineStr">
        <is>
          <t>Subtotal R01</t>
        </is>
      </c>
      <c r="C131" s="8" t="inlineStr"/>
      <c r="D131" s="8" t="inlineStr"/>
      <c r="E131" s="10" t="inlineStr"/>
      <c r="F131" s="10" t="inlineStr"/>
      <c r="G131" s="10" t="inlineStr"/>
      <c r="H131" s="10" t="inlineStr"/>
      <c r="I131" s="10">
        <f>I11+I19+I26+I34+I41+I48+I56+I63+I70+I85+I93+I102+I109+I122+I130</f>
        <v/>
      </c>
      <c r="J131" s="8" t="n"/>
    </row>
    <row r="132">
      <c r="A132" s="2" t="inlineStr">
        <is>
          <t>R02</t>
        </is>
      </c>
      <c r="B132" s="2" t="inlineStr">
        <is>
          <t>RODAPÉ PORCELANATO SANTORINI SGR HARD — h = 8 cm</t>
        </is>
      </c>
      <c r="C132" s="2" t="n"/>
      <c r="D132" s="2" t="n"/>
      <c r="E132" s="4" t="n"/>
      <c r="F132" s="4" t="n"/>
      <c r="G132" s="4" t="n"/>
      <c r="H132" s="4" t="n"/>
      <c r="I132" s="4" t="n"/>
      <c r="J132" s="2" t="n"/>
    </row>
    <row r="133">
      <c r="A133" s="5" t="inlineStr">
        <is>
          <t>R02</t>
        </is>
      </c>
      <c r="B133" s="5" t="inlineStr">
        <is>
          <t>Varanda Gourmet</t>
        </is>
      </c>
      <c r="C133" s="5" t="inlineStr">
        <is>
          <t>trecho de parede</t>
        </is>
      </c>
      <c r="D133" s="5" t="inlineStr">
        <is>
          <t>inf.</t>
        </is>
      </c>
      <c r="E133" s="7" t="n">
        <v>11.291</v>
      </c>
      <c r="F133" s="7" t="n">
        <v>27.836</v>
      </c>
      <c r="G133" s="7" t="n">
        <v>15.341</v>
      </c>
      <c r="H133" s="7" t="n">
        <v>27.836</v>
      </c>
      <c r="I133" s="7" t="n">
        <v>4.05</v>
      </c>
      <c r="J133" s="5" t="inlineStr">
        <is>
          <t>geometria DWG (face interna)</t>
        </is>
      </c>
    </row>
    <row r="134">
      <c r="A134" s="5" t="inlineStr">
        <is>
          <t>R02</t>
        </is>
      </c>
      <c r="B134" s="5" t="inlineStr">
        <is>
          <t>Varanda Gourmet</t>
        </is>
      </c>
      <c r="C134" s="5" t="inlineStr">
        <is>
          <t>trecho de parede</t>
        </is>
      </c>
      <c r="D134" s="5" t="inlineStr">
        <is>
          <t>esq.</t>
        </is>
      </c>
      <c r="E134" s="7" t="n">
        <v>11.291</v>
      </c>
      <c r="F134" s="7" t="n">
        <v>32.336</v>
      </c>
      <c r="G134" s="7" t="n">
        <v>11.291</v>
      </c>
      <c r="H134" s="7" t="n">
        <v>27.836</v>
      </c>
      <c r="I134" s="7" t="n">
        <v>4.5</v>
      </c>
      <c r="J134" s="5" t="inlineStr">
        <is>
          <t>geometria DWG (face interna)</t>
        </is>
      </c>
    </row>
    <row r="135">
      <c r="A135" s="5" t="inlineStr">
        <is>
          <t>R02</t>
        </is>
      </c>
      <c r="B135" s="5" t="inlineStr">
        <is>
          <t>Varanda Gourmet</t>
        </is>
      </c>
      <c r="C135" s="5" t="inlineStr">
        <is>
          <t>trecho de parede</t>
        </is>
      </c>
      <c r="D135" s="5" t="inlineStr">
        <is>
          <t>sup.</t>
        </is>
      </c>
      <c r="E135" s="7" t="n">
        <v>14.741</v>
      </c>
      <c r="F135" s="7" t="n">
        <v>32.336</v>
      </c>
      <c r="G135" s="7" t="n">
        <v>11.291</v>
      </c>
      <c r="H135" s="7" t="n">
        <v>32.336</v>
      </c>
      <c r="I135" s="7" t="n">
        <v>3.45</v>
      </c>
      <c r="J135" s="5" t="inlineStr">
        <is>
          <t>geometria DWG (face interna)</t>
        </is>
      </c>
    </row>
    <row r="136">
      <c r="A136" s="5" t="inlineStr">
        <is>
          <t>R02</t>
        </is>
      </c>
      <c r="B136" s="5" t="inlineStr">
        <is>
          <t>Varanda Gourmet</t>
        </is>
      </c>
      <c r="C136" s="5" t="inlineStr">
        <is>
          <t>soma dos trechos</t>
        </is>
      </c>
      <c r="D136" s="5" t="inlineStr"/>
      <c r="E136" s="7" t="inlineStr"/>
      <c r="F136" s="7" t="inlineStr"/>
      <c r="G136" s="7" t="inlineStr"/>
      <c r="H136" s="7" t="inlineStr"/>
      <c r="I136" s="7">
        <f>SUM(I133:I135)</f>
        <v/>
      </c>
      <c r="J136" s="5" t="n"/>
    </row>
    <row r="137">
      <c r="A137" s="5" t="inlineStr">
        <is>
          <t>R02</t>
        </is>
      </c>
      <c r="B137" s="5" t="inlineStr">
        <is>
          <t>Varanda Gourmet</t>
        </is>
      </c>
      <c r="C137" s="5" t="inlineStr">
        <is>
          <t>vão descontado</t>
        </is>
      </c>
      <c r="D137" s="5" t="inlineStr">
        <is>
          <t>P05 — Sala / Varanda Gourmet (trecho inf.)</t>
        </is>
      </c>
      <c r="E137" s="7" t="n">
        <v>11.991</v>
      </c>
      <c r="F137" s="7" t="n">
        <v>27.761</v>
      </c>
      <c r="G137" s="7" t="n">
        <v>14.991</v>
      </c>
      <c r="H137" s="7" t="n">
        <v>27.761</v>
      </c>
      <c r="I137" s="7" t="n">
        <v>3</v>
      </c>
      <c r="J137" s="5" t="inlineStr">
        <is>
          <t>soleira DWG</t>
        </is>
      </c>
    </row>
    <row r="138">
      <c r="A138" s="11" t="inlineStr">
        <is>
          <t>R02</t>
        </is>
      </c>
      <c r="B138" s="11" t="inlineStr">
        <is>
          <t>Varanda Gourmet</t>
        </is>
      </c>
      <c r="C138" s="11" t="inlineStr">
        <is>
          <t>LÍQUIDO</t>
        </is>
      </c>
      <c r="D138" s="11" t="inlineStr">
        <is>
          <t>soma dos trechos − vãos</t>
        </is>
      </c>
      <c r="E138" s="13" t="inlineStr"/>
      <c r="F138" s="13" t="inlineStr"/>
      <c r="G138" s="13" t="inlineStr"/>
      <c r="H138" s="13" t="inlineStr"/>
      <c r="I138" s="13">
        <f>I136-SUM(I137:I137)</f>
        <v/>
      </c>
      <c r="J138" s="11" t="inlineStr">
        <is>
          <t>Lado direito aberto para o deck: sem rodapé</t>
        </is>
      </c>
    </row>
    <row r="139">
      <c r="A139" s="5" t="inlineStr">
        <is>
          <t>R02</t>
        </is>
      </c>
      <c r="B139" s="5" t="inlineStr">
        <is>
          <t>Deck (inclui faixas sob beiral)</t>
        </is>
      </c>
      <c r="C139" s="5" t="inlineStr">
        <is>
          <t>trecho de parede</t>
        </is>
      </c>
      <c r="D139" s="5" t="inlineStr">
        <is>
          <t>fachada Q. Casal/Escr./B. Ext.</t>
        </is>
      </c>
      <c r="E139" s="7" t="n">
        <v>14.741</v>
      </c>
      <c r="F139" s="7" t="n">
        <v>32.486</v>
      </c>
      <c r="G139" s="7" t="n">
        <v>14.741</v>
      </c>
      <c r="H139" s="7" t="n">
        <v>39.886</v>
      </c>
      <c r="I139" s="7" t="n">
        <v>7.4</v>
      </c>
      <c r="J139" s="5" t="inlineStr">
        <is>
          <t>geometria DWG (face interna)</t>
        </is>
      </c>
    </row>
    <row r="140">
      <c r="A140" s="5" t="inlineStr">
        <is>
          <t>R02</t>
        </is>
      </c>
      <c r="B140" s="5" t="inlineStr">
        <is>
          <t>Deck (inclui faixas sob beiral)</t>
        </is>
      </c>
      <c r="C140" s="5" t="inlineStr">
        <is>
          <t>trecho de parede</t>
        </is>
      </c>
      <c r="D140" s="5" t="inlineStr">
        <is>
          <t>muro sup.</t>
        </is>
      </c>
      <c r="E140" s="7" t="n">
        <v>14.741</v>
      </c>
      <c r="F140" s="7" t="n">
        <v>39.886</v>
      </c>
      <c r="G140" s="7" t="n">
        <v>15.941</v>
      </c>
      <c r="H140" s="7" t="n">
        <v>39.886</v>
      </c>
      <c r="I140" s="7" t="n">
        <v>1.2</v>
      </c>
      <c r="J140" s="5" t="inlineStr">
        <is>
          <t>geometria DWG (face interna)</t>
        </is>
      </c>
    </row>
    <row r="141">
      <c r="A141" s="5" t="inlineStr">
        <is>
          <t>R02</t>
        </is>
      </c>
      <c r="B141" s="5" t="inlineStr">
        <is>
          <t>Deck (inclui faixas sob beiral)</t>
        </is>
      </c>
      <c r="C141" s="5" t="inlineStr">
        <is>
          <t>trecho de parede</t>
        </is>
      </c>
      <c r="D141" s="5" t="inlineStr">
        <is>
          <t>fachada Sala</t>
        </is>
      </c>
      <c r="E141" s="7" t="n">
        <v>15.341</v>
      </c>
      <c r="F141" s="7" t="n">
        <v>24.205</v>
      </c>
      <c r="G141" s="7" t="n">
        <v>15.341</v>
      </c>
      <c r="H141" s="7" t="n">
        <v>27.836</v>
      </c>
      <c r="I141" s="7" t="n">
        <v>3.631</v>
      </c>
      <c r="J141" s="5" t="inlineStr">
        <is>
          <t>geometria DWG (face interna)</t>
        </is>
      </c>
    </row>
    <row r="142">
      <c r="A142" s="5" t="inlineStr">
        <is>
          <t>R02</t>
        </is>
      </c>
      <c r="B142" s="5" t="inlineStr">
        <is>
          <t>Deck (inclui faixas sob beiral)</t>
        </is>
      </c>
      <c r="C142" s="5" t="inlineStr">
        <is>
          <t>trecho de parede</t>
        </is>
      </c>
      <c r="D142" s="5" t="inlineStr">
        <is>
          <t>muro inf.</t>
        </is>
      </c>
      <c r="E142" s="7" t="n">
        <v>15.341</v>
      </c>
      <c r="F142" s="7" t="n">
        <v>24.205</v>
      </c>
      <c r="G142" s="7" t="n">
        <v>17.341</v>
      </c>
      <c r="H142" s="7" t="n">
        <v>24.205</v>
      </c>
      <c r="I142" s="7" t="n">
        <v>2</v>
      </c>
      <c r="J142" s="5" t="inlineStr">
        <is>
          <t>geometria DWG (face interna)</t>
        </is>
      </c>
    </row>
    <row r="143">
      <c r="A143" s="5" t="inlineStr">
        <is>
          <t>R02</t>
        </is>
      </c>
      <c r="B143" s="5" t="inlineStr">
        <is>
          <t>Deck (inclui faixas sob beiral)</t>
        </is>
      </c>
      <c r="C143" s="5" t="inlineStr">
        <is>
          <t>trecho de parede</t>
        </is>
      </c>
      <c r="D143" s="5" t="inlineStr">
        <is>
          <t>portão P03 + batentes</t>
        </is>
      </c>
      <c r="E143" s="7" t="n">
        <v>17.341</v>
      </c>
      <c r="F143" s="7" t="n">
        <v>24.205</v>
      </c>
      <c r="G143" s="7" t="n">
        <v>17.341</v>
      </c>
      <c r="H143" s="7" t="n">
        <v>22.905</v>
      </c>
      <c r="I143" s="7" t="n">
        <v>1.3</v>
      </c>
      <c r="J143" s="5" t="inlineStr">
        <is>
          <t>geometria DWG (face interna)</t>
        </is>
      </c>
    </row>
    <row r="144">
      <c r="A144" s="5" t="inlineStr">
        <is>
          <t>R02</t>
        </is>
      </c>
      <c r="B144" s="5" t="inlineStr">
        <is>
          <t>Deck (inclui faixas sob beiral)</t>
        </is>
      </c>
      <c r="C144" s="5" t="inlineStr">
        <is>
          <t>trecho de parede</t>
        </is>
      </c>
      <c r="D144" s="5" t="inlineStr">
        <is>
          <t>muro portão</t>
        </is>
      </c>
      <c r="E144" s="7" t="n">
        <v>17.341</v>
      </c>
      <c r="F144" s="7" t="n">
        <v>22.905</v>
      </c>
      <c r="G144" s="7" t="n">
        <v>18.633</v>
      </c>
      <c r="H144" s="7" t="n">
        <v>22.905</v>
      </c>
      <c r="I144" s="7" t="n">
        <v>1.292</v>
      </c>
      <c r="J144" s="5" t="inlineStr">
        <is>
          <t>geometria DWG (face interna)</t>
        </is>
      </c>
    </row>
    <row r="145">
      <c r="A145" s="5" t="inlineStr">
        <is>
          <t>R02</t>
        </is>
      </c>
      <c r="B145" s="5" t="inlineStr">
        <is>
          <t>Deck (inclui faixas sob beiral)</t>
        </is>
      </c>
      <c r="C145" s="5" t="inlineStr">
        <is>
          <t>trecho de parede</t>
        </is>
      </c>
      <c r="D145" s="5" t="inlineStr">
        <is>
          <t>muro de divisa (diag.)</t>
        </is>
      </c>
      <c r="E145" s="7" t="n">
        <v>18.633</v>
      </c>
      <c r="F145" s="7" t="n">
        <v>22.905</v>
      </c>
      <c r="G145" s="7" t="n">
        <v>23.528</v>
      </c>
      <c r="H145" s="7" t="n">
        <v>33.436</v>
      </c>
      <c r="I145" s="7" t="n">
        <v>11.613</v>
      </c>
      <c r="J145" s="5" t="inlineStr">
        <is>
          <t>geometria DWG (face interna)</t>
        </is>
      </c>
    </row>
    <row r="146">
      <c r="A146" s="5" t="inlineStr">
        <is>
          <t>R02</t>
        </is>
      </c>
      <c r="B146" s="5" t="inlineStr">
        <is>
          <t>Deck (inclui faixas sob beiral)</t>
        </is>
      </c>
      <c r="C146" s="5" t="inlineStr">
        <is>
          <t>soma dos trechos</t>
        </is>
      </c>
      <c r="D146" s="5" t="inlineStr"/>
      <c r="E146" s="7" t="inlineStr"/>
      <c r="F146" s="7" t="inlineStr"/>
      <c r="G146" s="7" t="inlineStr"/>
      <c r="H146" s="7" t="inlineStr"/>
      <c r="I146" s="7">
        <f>SUM(I139:I145)</f>
        <v/>
      </c>
      <c r="J146" s="5" t="n"/>
    </row>
    <row r="147">
      <c r="A147" s="5" t="inlineStr">
        <is>
          <t>R02</t>
        </is>
      </c>
      <c r="B147" s="5" t="inlineStr">
        <is>
          <t>Deck (inclui faixas sob beiral)</t>
        </is>
      </c>
      <c r="C147" s="5" t="inlineStr">
        <is>
          <t>vão descontado</t>
        </is>
      </c>
      <c r="D147" s="5" t="inlineStr">
        <is>
          <t>P10 — Quarto Casal / Deck (trecho fachada Q. Casal/Escr./B. Ext.)</t>
        </is>
      </c>
      <c r="E147" s="7" t="n">
        <v>14.666</v>
      </c>
      <c r="F147" s="7" t="n">
        <v>36.711</v>
      </c>
      <c r="G147" s="7" t="n">
        <v>14.666</v>
      </c>
      <c r="H147" s="7" t="n">
        <v>39.411</v>
      </c>
      <c r="I147" s="7" t="n">
        <v>2.7</v>
      </c>
      <c r="J147" s="5" t="inlineStr">
        <is>
          <t>caixilho DWG (4 × 0,675)</t>
        </is>
      </c>
    </row>
    <row r="148">
      <c r="A148" s="5" t="inlineStr">
        <is>
          <t>R02</t>
        </is>
      </c>
      <c r="B148" s="5" t="inlineStr">
        <is>
          <t>Deck (inclui faixas sob beiral)</t>
        </is>
      </c>
      <c r="C148" s="5" t="inlineStr">
        <is>
          <t>vão descontado</t>
        </is>
      </c>
      <c r="D148" s="5" t="inlineStr">
        <is>
          <t>P11 — Banheiro Externo / Deck (trecho fachada Q. Casal/Escr./B. Ext.)</t>
        </is>
      </c>
      <c r="E148" s="7" t="n">
        <v>14.666</v>
      </c>
      <c r="F148" s="7" t="n">
        <v>32.586</v>
      </c>
      <c r="G148" s="7" t="n">
        <v>14.666</v>
      </c>
      <c r="H148" s="7" t="n">
        <v>33.386</v>
      </c>
      <c r="I148" s="7" t="n">
        <v>0.8</v>
      </c>
      <c r="J148" s="5" t="inlineStr">
        <is>
          <t>bloco de porta</t>
        </is>
      </c>
    </row>
    <row r="149">
      <c r="A149" s="5" t="inlineStr">
        <is>
          <t>R02</t>
        </is>
      </c>
      <c r="B149" s="5" t="inlineStr">
        <is>
          <t>Deck (inclui faixas sob beiral)</t>
        </is>
      </c>
      <c r="C149" s="5" t="inlineStr">
        <is>
          <t>vão descontado</t>
        </is>
      </c>
      <c r="D149" s="5" t="inlineStr">
        <is>
          <t>P05 — Sala / Deck (trecho fachada Sala)</t>
        </is>
      </c>
      <c r="E149" s="7" t="n">
        <v>15.266</v>
      </c>
      <c r="F149" s="7" t="n">
        <v>24.436</v>
      </c>
      <c r="G149" s="7" t="n">
        <v>15.266</v>
      </c>
      <c r="H149" s="7" t="n">
        <v>27.436</v>
      </c>
      <c r="I149" s="7" t="n">
        <v>3</v>
      </c>
      <c r="J149" s="5" t="inlineStr">
        <is>
          <t>soleira DWG</t>
        </is>
      </c>
    </row>
    <row r="150">
      <c r="A150" s="5" t="inlineStr">
        <is>
          <t>R02</t>
        </is>
      </c>
      <c r="B150" s="5" t="inlineStr">
        <is>
          <t>Deck (inclui faixas sob beiral)</t>
        </is>
      </c>
      <c r="C150" s="5" t="inlineStr">
        <is>
          <t>vão descontado</t>
        </is>
      </c>
      <c r="D150" s="5" t="inlineStr">
        <is>
          <t>P03 — Deck / Acesso externo (trecho portão P03 + batentes)</t>
        </is>
      </c>
      <c r="E150" s="7" t="n">
        <v>17.341</v>
      </c>
      <c r="F150" s="7" t="n">
        <v>23.905</v>
      </c>
      <c r="G150" s="7" t="n">
        <v>17.341</v>
      </c>
      <c r="H150" s="7" t="n">
        <v>23.005</v>
      </c>
      <c r="I150" s="7" t="n">
        <v>0.9</v>
      </c>
      <c r="J150" s="5" t="inlineStr">
        <is>
          <t>bloco de porta</t>
        </is>
      </c>
    </row>
    <row r="151">
      <c r="A151" s="11" t="inlineStr">
        <is>
          <t>R02</t>
        </is>
      </c>
      <c r="B151" s="11" t="inlineStr">
        <is>
          <t>Deck (inclui faixas sob beiral)</t>
        </is>
      </c>
      <c r="C151" s="11" t="inlineStr">
        <is>
          <t>LÍQUIDO</t>
        </is>
      </c>
      <c r="D151" s="11" t="inlineStr">
        <is>
          <t>soma dos trechos − vãos</t>
        </is>
      </c>
      <c r="E151" s="13" t="inlineStr"/>
      <c r="F151" s="13" t="inlineStr"/>
      <c r="G151" s="13" t="inlineStr"/>
      <c r="H151" s="13" t="inlineStr"/>
      <c r="I151" s="13">
        <f>I146-SUM(I147:I150)</f>
        <v/>
      </c>
      <c r="J151" s="11" t="inlineStr">
        <is>
          <t>Sem rodapé junto à piscina e às áreas verdes</t>
        </is>
      </c>
    </row>
    <row r="152">
      <c r="A152" s="8" t="inlineStr"/>
      <c r="B152" s="8" t="inlineStr">
        <is>
          <t>Subtotal R02</t>
        </is>
      </c>
      <c r="C152" s="8" t="inlineStr"/>
      <c r="D152" s="8" t="inlineStr"/>
      <c r="E152" s="10" t="inlineStr"/>
      <c r="F152" s="10" t="inlineStr"/>
      <c r="G152" s="10" t="inlineStr"/>
      <c r="H152" s="10" t="inlineStr"/>
      <c r="I152" s="10">
        <f>I138+I151</f>
        <v/>
      </c>
      <c r="J152" s="8" t="n"/>
    </row>
    <row r="153">
      <c r="A153" s="11" t="inlineStr"/>
      <c r="B153" s="11" t="inlineStr">
        <is>
          <t>TOTAL GERAL DE RODAPÉS (R01 + R02)</t>
        </is>
      </c>
      <c r="C153" s="11" t="inlineStr"/>
      <c r="D153" s="11" t="inlineStr"/>
      <c r="E153" s="13" t="inlineStr"/>
      <c r="F153" s="13" t="inlineStr"/>
      <c r="G153" s="13" t="inlineStr"/>
      <c r="H153" s="13" t="inlineStr"/>
      <c r="I153" s="13">
        <f>I131+I152</f>
        <v/>
      </c>
      <c r="J153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36" customWidth="1" min="3" max="3"/>
    <col width="13" customWidth="1" min="4" max="4"/>
    <col width="18" customWidth="1" min="5" max="5"/>
    <col width="13" customWidth="1" min="6" max="6"/>
    <col width="44" customWidth="1" min="7" max="7"/>
  </cols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Ambientes</t>
        </is>
      </c>
      <c r="D1" s="1" t="inlineStr">
        <is>
          <t>Vão DWG (m)</t>
        </is>
      </c>
      <c r="E1" s="1" t="inlineStr">
        <is>
          <t>Quadro de Esquadrias Rev. 01 (m)</t>
        </is>
      </c>
      <c r="F1" s="1" t="inlineStr">
        <is>
          <t>Diferença (m)</t>
        </is>
      </c>
      <c r="G1" s="1" t="inlineStr">
        <is>
          <t>Origem da medida DWG</t>
        </is>
      </c>
    </row>
    <row r="2">
      <c r="A2" t="inlineStr">
        <is>
          <t>P01</t>
        </is>
      </c>
      <c r="B2" t="inlineStr">
        <is>
          <t>P01</t>
        </is>
      </c>
      <c r="C2" t="inlineStr">
        <is>
          <t>Garagem / Sala</t>
        </is>
      </c>
      <c r="D2" t="n">
        <v>1.2</v>
      </c>
      <c r="E2" t="n">
        <v>1.2</v>
      </c>
      <c r="F2">
        <f>E2-D2</f>
        <v/>
      </c>
      <c r="G2" t="inlineStr">
        <is>
          <t>bloco de porta</t>
        </is>
      </c>
    </row>
    <row r="3">
      <c r="A3" t="inlineStr">
        <is>
          <t>P02</t>
        </is>
      </c>
      <c r="B3" t="inlineStr">
        <is>
          <t>P02</t>
        </is>
      </c>
      <c r="C3" t="inlineStr">
        <is>
          <t>Garagem / Corredor Lateral</t>
        </is>
      </c>
      <c r="D3" t="n">
        <v>0.8</v>
      </c>
      <c r="E3" t="n">
        <v>0.9</v>
      </c>
      <c r="F3">
        <f>E3-D3</f>
        <v/>
      </c>
      <c r="G3" t="inlineStr">
        <is>
          <t>bloco de porta</t>
        </is>
      </c>
    </row>
    <row r="4">
      <c r="A4" t="inlineStr">
        <is>
          <t>P03</t>
        </is>
      </c>
      <c r="B4" t="inlineStr">
        <is>
          <t>P03</t>
        </is>
      </c>
      <c r="C4" t="inlineStr">
        <is>
          <t>Deck / Acesso externo</t>
        </is>
      </c>
      <c r="D4" t="n">
        <v>0.9</v>
      </c>
      <c r="E4" t="n">
        <v>0.9</v>
      </c>
      <c r="F4">
        <f>E4-D4</f>
        <v/>
      </c>
      <c r="G4" t="inlineStr">
        <is>
          <t>bloco de porta</t>
        </is>
      </c>
    </row>
    <row r="5">
      <c r="A5" t="inlineStr">
        <is>
          <t>P04</t>
        </is>
      </c>
      <c r="B5" t="inlineStr">
        <is>
          <t>P04</t>
        </is>
      </c>
      <c r="C5" t="inlineStr">
        <is>
          <t>Cozinha / Sala</t>
        </is>
      </c>
      <c r="D5" t="n">
        <v>4.2</v>
      </c>
      <c r="E5" t="n">
        <v>4.2</v>
      </c>
      <c r="F5">
        <f>E5-D5</f>
        <v/>
      </c>
      <c r="G5" t="inlineStr">
        <is>
          <t>informado (passagem; esquadria não desenhada no DWG)</t>
        </is>
      </c>
    </row>
    <row r="6">
      <c r="A6" t="inlineStr">
        <is>
          <t>P05a</t>
        </is>
      </c>
      <c r="B6" t="inlineStr">
        <is>
          <t>P05</t>
        </is>
      </c>
      <c r="C6" t="inlineStr">
        <is>
          <t>Sala / Varanda Gourmet</t>
        </is>
      </c>
      <c r="D6" t="n">
        <v>3</v>
      </c>
      <c r="E6" t="n">
        <v>3</v>
      </c>
      <c r="F6">
        <f>E6-D6</f>
        <v/>
      </c>
      <c r="G6" t="inlineStr">
        <is>
          <t>soleira DWG</t>
        </is>
      </c>
    </row>
    <row r="7">
      <c r="A7" t="inlineStr">
        <is>
          <t>P05b</t>
        </is>
      </c>
      <c r="B7" t="inlineStr">
        <is>
          <t>P05</t>
        </is>
      </c>
      <c r="C7" t="inlineStr">
        <is>
          <t>Sala / Deck</t>
        </is>
      </c>
      <c r="D7" t="n">
        <v>3</v>
      </c>
      <c r="E7" t="n">
        <v>3</v>
      </c>
      <c r="F7">
        <f>E7-D7</f>
        <v/>
      </c>
      <c r="G7" t="inlineStr">
        <is>
          <t>soleira DWG</t>
        </is>
      </c>
    </row>
    <row r="8">
      <c r="A8" t="inlineStr">
        <is>
          <t>P06sal</t>
        </is>
      </c>
      <c r="B8" t="inlineStr">
        <is>
          <t>P06</t>
        </is>
      </c>
      <c r="C8" t="inlineStr">
        <is>
          <t>Circulação / Sala</t>
        </is>
      </c>
      <c r="D8" t="n">
        <v>0.9</v>
      </c>
      <c r="E8" t="n">
        <v>0.9</v>
      </c>
      <c r="F8">
        <f>E8-D8</f>
        <v/>
      </c>
      <c r="G8" t="inlineStr">
        <is>
          <t>bloco de porta</t>
        </is>
      </c>
    </row>
    <row r="9">
      <c r="A9" t="inlineStr">
        <is>
          <t>P06coz</t>
        </is>
      </c>
      <c r="B9" t="inlineStr">
        <is>
          <t>P06</t>
        </is>
      </c>
      <c r="C9" t="inlineStr">
        <is>
          <t>Cozinha / Lavanderia</t>
        </is>
      </c>
      <c r="D9" t="n">
        <v>0.8</v>
      </c>
      <c r="E9" t="n">
        <v>0.9</v>
      </c>
      <c r="F9">
        <f>E9-D9</f>
        <v/>
      </c>
      <c r="G9" t="inlineStr">
        <is>
          <t>interrupção de parede</t>
        </is>
      </c>
    </row>
    <row r="10">
      <c r="A10" t="inlineStr">
        <is>
          <t>P06dep</t>
        </is>
      </c>
      <c r="B10" t="inlineStr">
        <is>
          <t>P06</t>
        </is>
      </c>
      <c r="C10" t="inlineStr">
        <is>
          <t>Lavanderia / Depósito</t>
        </is>
      </c>
      <c r="D10" t="n">
        <v>0.7</v>
      </c>
      <c r="E10" t="n">
        <v>0.9</v>
      </c>
      <c r="F10">
        <f>E10-D10</f>
        <v/>
      </c>
      <c r="G10" t="inlineStr">
        <is>
          <t>bloco de porta</t>
        </is>
      </c>
    </row>
    <row r="11">
      <c r="A11" t="inlineStr">
        <is>
          <t>P06q01</t>
        </is>
      </c>
      <c r="B11" t="inlineStr">
        <is>
          <t>P06</t>
        </is>
      </c>
      <c r="C11" t="inlineStr">
        <is>
          <t>Circulação / Quarto 01</t>
        </is>
      </c>
      <c r="D11" t="n">
        <v>0.8</v>
      </c>
      <c r="E11" t="n">
        <v>0.9</v>
      </c>
      <c r="F11">
        <f>E11-D11</f>
        <v/>
      </c>
      <c r="G11" t="inlineStr">
        <is>
          <t>bloco de porta</t>
        </is>
      </c>
    </row>
    <row r="12">
      <c r="A12" t="inlineStr">
        <is>
          <t>P06w01</t>
        </is>
      </c>
      <c r="B12" t="inlineStr">
        <is>
          <t>P06</t>
        </is>
      </c>
      <c r="C12" t="inlineStr">
        <is>
          <t>Quarto 01 / WC 01</t>
        </is>
      </c>
      <c r="D12" t="n">
        <v>0.8</v>
      </c>
      <c r="E12" t="n">
        <v>0.9</v>
      </c>
      <c r="F12">
        <f>E12-D12</f>
        <v/>
      </c>
      <c r="G12" t="inlineStr">
        <is>
          <t>bloco de porta</t>
        </is>
      </c>
    </row>
    <row r="13">
      <c r="A13" t="inlineStr">
        <is>
          <t>P06q02</t>
        </is>
      </c>
      <c r="B13" t="inlineStr">
        <is>
          <t>P06</t>
        </is>
      </c>
      <c r="C13" t="inlineStr">
        <is>
          <t>Circulação / Quarto 02</t>
        </is>
      </c>
      <c r="D13" t="n">
        <v>0.8</v>
      </c>
      <c r="E13" t="n">
        <v>0.9</v>
      </c>
      <c r="F13">
        <f>E13-D13</f>
        <v/>
      </c>
      <c r="G13" t="inlineStr">
        <is>
          <t>bloco de porta</t>
        </is>
      </c>
    </row>
    <row r="14">
      <c r="A14" t="inlineStr">
        <is>
          <t>P06w02</t>
        </is>
      </c>
      <c r="B14" t="inlineStr">
        <is>
          <t>P06</t>
        </is>
      </c>
      <c r="C14" t="inlineStr">
        <is>
          <t>Quarto 02 / WC 02</t>
        </is>
      </c>
      <c r="D14" t="n">
        <v>0.8</v>
      </c>
      <c r="E14" t="n">
        <v>0.9</v>
      </c>
      <c r="F14">
        <f>E14-D14</f>
        <v/>
      </c>
      <c r="G14" t="inlineStr">
        <is>
          <t>bloco de porta</t>
        </is>
      </c>
    </row>
    <row r="15">
      <c r="A15" t="inlineStr">
        <is>
          <t>P06qca</t>
        </is>
      </c>
      <c r="B15" t="inlineStr">
        <is>
          <t>P06</t>
        </is>
      </c>
      <c r="C15" t="inlineStr">
        <is>
          <t>Circulação / Quarto Casal</t>
        </is>
      </c>
      <c r="D15" t="n">
        <v>0.9</v>
      </c>
      <c r="E15" t="n">
        <v>0.9</v>
      </c>
      <c r="F15">
        <f>E15-D15</f>
        <v/>
      </c>
      <c r="G15" t="inlineStr">
        <is>
          <t>bloco de porta</t>
        </is>
      </c>
    </row>
    <row r="16">
      <c r="A16" t="inlineStr">
        <is>
          <t>P06esc</t>
        </is>
      </c>
      <c r="B16" t="inlineStr">
        <is>
          <t>P06</t>
        </is>
      </c>
      <c r="C16" t="inlineStr">
        <is>
          <t>Circulação / Escritório</t>
        </is>
      </c>
      <c r="D16" t="n">
        <v>0.8</v>
      </c>
      <c r="E16" t="n">
        <v>0.9</v>
      </c>
      <c r="F16">
        <f>E16-D16</f>
        <v/>
      </c>
      <c r="G16" t="inlineStr">
        <is>
          <t>bloco de porta</t>
        </is>
      </c>
    </row>
    <row r="17">
      <c r="A17" t="inlineStr">
        <is>
          <t>P07</t>
        </is>
      </c>
      <c r="B17" t="inlineStr">
        <is>
          <t>P07</t>
        </is>
      </c>
      <c r="C17" t="inlineStr">
        <is>
          <t>Lavanderia / Corredor Lateral</t>
        </is>
      </c>
      <c r="D17" t="n">
        <v>1.8</v>
      </c>
      <c r="E17" t="n">
        <v>1.8</v>
      </c>
      <c r="F17">
        <f>E17-D17</f>
        <v/>
      </c>
      <c r="G17" t="inlineStr">
        <is>
          <t>caixilho DWG</t>
        </is>
      </c>
    </row>
    <row r="18">
      <c r="A18" t="inlineStr">
        <is>
          <t>P08</t>
        </is>
      </c>
      <c r="B18" t="inlineStr">
        <is>
          <t>P08</t>
        </is>
      </c>
      <c r="C18" t="inlineStr">
        <is>
          <t>Quarto Casal / Closet Casal</t>
        </is>
      </c>
      <c r="D18" t="n">
        <v>0.9</v>
      </c>
      <c r="E18" t="n">
        <v>1</v>
      </c>
      <c r="F18">
        <f>E18-D18</f>
        <v/>
      </c>
      <c r="G18" t="inlineStr">
        <is>
          <t>soleira DWG</t>
        </is>
      </c>
    </row>
    <row r="19">
      <c r="A19" t="inlineStr">
        <is>
          <t>P09</t>
        </is>
      </c>
      <c r="B19" t="inlineStr">
        <is>
          <t>P09</t>
        </is>
      </c>
      <c r="C19" t="inlineStr">
        <is>
          <t>Closet Casal / Banheiro Casal</t>
        </is>
      </c>
      <c r="D19" t="n">
        <v>0.9</v>
      </c>
      <c r="E19" t="n">
        <v>1</v>
      </c>
      <c r="F19">
        <f>E19-D19</f>
        <v/>
      </c>
      <c r="G19" t="inlineStr">
        <is>
          <t>interrupção de parede</t>
        </is>
      </c>
    </row>
    <row r="20">
      <c r="A20" t="inlineStr">
        <is>
          <t>P10</t>
        </is>
      </c>
      <c r="B20" t="inlineStr">
        <is>
          <t>P10</t>
        </is>
      </c>
      <c r="C20" t="inlineStr">
        <is>
          <t>Quarto Casal / Deck</t>
        </is>
      </c>
      <c r="D20" t="n">
        <v>2.7</v>
      </c>
      <c r="E20" t="n">
        <v>2.5</v>
      </c>
      <c r="F20">
        <f>E20-D20</f>
        <v/>
      </c>
      <c r="G20" t="inlineStr">
        <is>
          <t>caixilho DWG (4 × 0,675)</t>
        </is>
      </c>
    </row>
    <row r="21">
      <c r="A21" t="inlineStr">
        <is>
          <t>P11</t>
        </is>
      </c>
      <c r="B21" t="inlineStr">
        <is>
          <t>P11</t>
        </is>
      </c>
      <c r="C21" t="inlineStr">
        <is>
          <t>Banheiro Externo / Deck</t>
        </is>
      </c>
      <c r="D21" t="n">
        <v>0.8</v>
      </c>
      <c r="E21" t="n">
        <v>0.9</v>
      </c>
      <c r="F21">
        <f>E21-D21</f>
        <v/>
      </c>
      <c r="G21" t="inlineStr">
        <is>
          <t>bloco de porta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80" customWidth="1" min="4" max="4"/>
    <col width="14" customWidth="1" min="5" max="5"/>
    <col width="16" customWidth="1" min="6" max="6"/>
  </cols>
  <sheetData>
    <row r="1">
      <c r="A1" s="1" t="inlineStr">
        <is>
          <t>Código</t>
        </is>
      </c>
      <c r="B1" s="1" t="inlineStr">
        <is>
          <t>Porta</t>
        </is>
      </c>
      <c r="C1" s="1" t="inlineStr">
        <is>
          <t>Encontro de pisos</t>
        </is>
      </c>
      <c r="D1" s="1" t="inlineStr">
        <is>
          <t>Solução</t>
        </is>
      </c>
      <c r="E1" s="1" t="inlineStr">
        <is>
          <t>Controle</t>
        </is>
      </c>
      <c r="F1" s="1" t="inlineStr">
        <is>
          <t>Soleira mármore Itaúnas (m)</t>
        </is>
      </c>
    </row>
    <row r="2">
      <c r="A2" s="14" t="inlineStr">
        <is>
          <t>T01</t>
        </is>
      </c>
      <c r="B2" s="14" t="inlineStr">
        <is>
          <t>P02</t>
        </is>
      </c>
      <c r="C2" s="14" t="inlineStr">
        <is>
          <t>Garagem (P01) / Corredor Lateral Externo (P02 ou PI01)</t>
        </is>
      </c>
      <c r="D2" s="14" t="inlineStr">
        <is>
          <t>Soleira mármore Itaúnas, baguete 5 cm × comprimento do vão (0,80 m).</t>
        </is>
      </c>
      <c r="E2" s="14" t="inlineStr">
        <is>
          <t>Informado</t>
        </is>
      </c>
      <c r="F2" s="14" t="n">
        <v>0.8</v>
      </c>
    </row>
    <row r="3">
      <c r="A3" s="14" t="inlineStr">
        <is>
          <t>T02</t>
        </is>
      </c>
      <c r="B3" s="14" t="inlineStr">
        <is>
          <t>P07</t>
        </is>
      </c>
      <c r="C3" s="14" t="inlineStr">
        <is>
          <t>Lavanderia (P01) / Corredor Lateral Externo (P02 ou PI01)</t>
        </is>
      </c>
      <c r="D3" s="14" t="inlineStr">
        <is>
          <t>Soleira mármore Itaúnas, baguete 5 cm × comprimento do vão (1,80 m). Compatibilizar com o trilho embutido (esquadrias, notas 3 e 10).</t>
        </is>
      </c>
      <c r="E3" s="14" t="inlineStr">
        <is>
          <t>Informado</t>
        </is>
      </c>
      <c r="F3" s="14" t="n">
        <v>1.8</v>
      </c>
    </row>
    <row r="4">
      <c r="A4" s="14" t="inlineStr">
        <is>
          <t>T03</t>
        </is>
      </c>
      <c r="B4" s="14" t="inlineStr">
        <is>
          <t>P05</t>
        </is>
      </c>
      <c r="C4" s="14" t="inlineStr">
        <is>
          <t>Sala TV / Sala Jantar (P01) / Varanda Gourmet (P02)</t>
        </is>
      </c>
      <c r="D4" s="14" t="inlineStr">
        <is>
          <t>Soleira mármore Itaúnas, baguete 5 cm × comprimento do vão (3,00 m). Compatibilizar com o trilho embutido.</t>
        </is>
      </c>
      <c r="E4" s="14" t="inlineStr">
        <is>
          <t>Informado</t>
        </is>
      </c>
      <c r="F4" s="14" t="n">
        <v>3</v>
      </c>
    </row>
    <row r="5">
      <c r="A5" s="14" t="inlineStr">
        <is>
          <t>T04</t>
        </is>
      </c>
      <c r="B5" s="14" t="inlineStr">
        <is>
          <t>P05</t>
        </is>
      </c>
      <c r="C5" s="14" t="inlineStr">
        <is>
          <t>Sala TV / Sala Jantar (P01) / Deck (P02)</t>
        </is>
      </c>
      <c r="D5" s="14" t="inlineStr">
        <is>
          <t>Soleira mármore Itaúnas, baguete 5 cm × comprimento do vão (3,00 m). Compatibilizar com o trilho embutido.</t>
        </is>
      </c>
      <c r="E5" s="14" t="inlineStr">
        <is>
          <t>Informado</t>
        </is>
      </c>
      <c r="F5" s="14" t="n">
        <v>3</v>
      </c>
    </row>
    <row r="6">
      <c r="A6" s="14" t="inlineStr">
        <is>
          <t>T05</t>
        </is>
      </c>
      <c r="B6" s="14" t="inlineStr">
        <is>
          <t>P10</t>
        </is>
      </c>
      <c r="C6" s="14" t="inlineStr">
        <is>
          <t>Quarto Casal (P01) / Deck (P02)</t>
        </is>
      </c>
      <c r="D6" s="14" t="inlineStr">
        <is>
          <t>Soleira mármore Itaúnas, baguete 5 cm × comprimento do vão (2,70 m). Compatibilizar com o trilho da veneziana de correr.</t>
        </is>
      </c>
      <c r="E6" s="14" t="inlineStr">
        <is>
          <t>Informado</t>
        </is>
      </c>
      <c r="F6" s="14" t="n">
        <v>2.7</v>
      </c>
    </row>
    <row r="7">
      <c r="A7" s="14" t="inlineStr">
        <is>
          <t>T06</t>
        </is>
      </c>
      <c r="B7" s="14" t="inlineStr">
        <is>
          <t>P11</t>
        </is>
      </c>
      <c r="C7" s="14" t="inlineStr">
        <is>
          <t>Banheiro Externo (P01) / Deck (P02)</t>
        </is>
      </c>
      <c r="D7" s="14" t="inlineStr">
        <is>
          <t>Soleira mármore Itaúnas, baguete 5 cm × comprimento do vão (0,80 m).</t>
        </is>
      </c>
      <c r="E7" s="14" t="inlineStr">
        <is>
          <t>Informado</t>
        </is>
      </c>
      <c r="F7" s="14" t="n">
        <v>0.8</v>
      </c>
    </row>
    <row r="8">
      <c r="A8" s="14" t="inlineStr">
        <is>
          <t>T07</t>
        </is>
      </c>
      <c r="B8" s="14" t="inlineStr">
        <is>
          <t>P03</t>
        </is>
      </c>
      <c r="C8" s="14" t="inlineStr">
        <is>
          <t>Deck (P02) / Acesso externo (PP01)</t>
        </is>
      </c>
      <c r="D8" s="14" t="inlineStr">
        <is>
          <t>Soleira mármore Itaúnas, baguete 5 cm × comprimento do vão (0,90 m).</t>
        </is>
      </c>
      <c r="E8" s="14" t="inlineStr">
        <is>
          <t>Informado</t>
        </is>
      </c>
      <c r="F8" s="14" t="n">
        <v>0.9</v>
      </c>
    </row>
    <row r="9">
      <c r="A9" s="14" t="inlineStr">
        <is>
          <t>T08</t>
        </is>
      </c>
      <c r="B9" s="14" t="inlineStr">
        <is>
          <t>—</t>
        </is>
      </c>
      <c r="C9" s="14" t="inlineStr">
        <is>
          <t>Garagem (P01) / Rampa (PP01) — frente aberta</t>
        </is>
      </c>
      <c r="D9" s="14" t="inlineStr">
        <is>
          <t>Soleira mármore Itaúnas, baguete 5 cm × comprimento do vão (7,40 m, linha y = 15,036).</t>
        </is>
      </c>
      <c r="E9" s="14" t="inlineStr">
        <is>
          <t>Informado</t>
        </is>
      </c>
      <c r="F9" s="14" t="n">
        <v>7.4</v>
      </c>
    </row>
    <row r="10">
      <c r="A10" s="14" t="inlineStr">
        <is>
          <t>T09</t>
        </is>
      </c>
      <c r="B10" s="14" t="inlineStr">
        <is>
          <t>—</t>
        </is>
      </c>
      <c r="C10" s="14" t="inlineStr">
        <is>
          <t>Garagem (P01) / Acesso externo (PP01) — lateral aberta</t>
        </is>
      </c>
      <c r="D10" s="14" t="inlineStr">
        <is>
          <t>Soleira mármore Itaúnas, baguete 5 cm × comprimento do vão (4,50 m).</t>
        </is>
      </c>
      <c r="E10" s="14" t="inlineStr">
        <is>
          <t>Informado</t>
        </is>
      </c>
      <c r="F10" s="14" t="n">
        <v>4.5</v>
      </c>
    </row>
    <row r="11">
      <c r="A11" s="14" t="inlineStr">
        <is>
          <t>T10</t>
        </is>
      </c>
      <c r="B11" s="14" t="inlineStr">
        <is>
          <t>—</t>
        </is>
      </c>
      <c r="C11" s="14" t="inlineStr">
        <is>
          <t>Deck (P02) / Piscina</t>
        </is>
      </c>
      <c r="D11" s="14" t="inlineStr">
        <is>
          <t>Borda da piscina e arremate não documentados: A CONFIRMAR.</t>
        </is>
      </c>
      <c r="E11" s="14" t="inlineStr">
        <is>
          <t>Decisão</t>
        </is>
      </c>
      <c r="F11" s="14" t="n"/>
    </row>
    <row r="12">
      <c r="A12" s="14" t="inlineStr">
        <is>
          <t>T11</t>
        </is>
      </c>
      <c r="B12" s="14" t="inlineStr">
        <is>
          <t>—</t>
        </is>
      </c>
      <c r="C12" s="14" t="inlineStr">
        <is>
          <t>Deck (P02) e PP01 / áreas verdes</t>
        </is>
      </c>
      <c r="D12" s="14" t="inlineStr">
        <is>
          <t>Contenção/arremate entre piso e jardim não documentado: A CONFIRMAR.</t>
        </is>
      </c>
      <c r="E12" s="14" t="inlineStr">
        <is>
          <t>Decisão</t>
        </is>
      </c>
      <c r="F12" s="14" t="n"/>
    </row>
    <row r="13">
      <c r="A13" s="14" t="inlineStr">
        <is>
          <t>T12</t>
        </is>
      </c>
      <c r="B13" s="14" t="inlineStr">
        <is>
          <t>—</t>
        </is>
      </c>
      <c r="C13" s="14" t="inlineStr">
        <is>
          <t>Rampa (PP01) / Calçada (PP01) — divisa</t>
        </is>
      </c>
      <c r="D13" s="14" t="inlineStr">
        <is>
          <t>Mesmo material: sem soleira. Havendo desnível: perfil metálico (mesmo material, somente com desnível).</t>
        </is>
      </c>
      <c r="E13" s="14" t="inlineStr">
        <is>
          <t>Informado</t>
        </is>
      </c>
      <c r="F13" s="14" t="n"/>
    </row>
    <row r="14">
      <c r="A14" s="14" t="inlineStr">
        <is>
          <t>T13</t>
        </is>
      </c>
      <c r="B14" s="14" t="inlineStr">
        <is>
          <t>P04</t>
        </is>
      </c>
      <c r="C14" s="14" t="inlineStr">
        <is>
          <t>Cozinha (P01) / Sala TV / Sala Jantar (P01)</t>
        </is>
      </c>
      <c r="D14" s="14" t="inlineStr">
        <is>
          <t>Mesmo material: sem soleira. Havendo desnível: perfil metálico (mesmo material, somente com desnível). Posição do trilho de P04 A CONFIRMAR.</t>
        </is>
      </c>
      <c r="E14" s="14" t="inlineStr">
        <is>
          <t>Informado</t>
        </is>
      </c>
      <c r="F14" s="14" t="n"/>
    </row>
    <row r="15">
      <c r="A15" s="14" t="inlineStr">
        <is>
          <t>T14</t>
        </is>
      </c>
      <c r="B15" s="14" t="inlineStr">
        <is>
          <t>P06/P08/P09</t>
        </is>
      </c>
      <c r="C15" s="14" t="inlineStr">
        <is>
          <t>Portas internas (P01 / P01)</t>
        </is>
      </c>
      <c r="D15" s="14" t="inlineStr">
        <is>
          <t>Mesmo material: sem soleira. Havendo desnível: perfil metálico (mesmo material, somente com desnível).</t>
        </is>
      </c>
      <c r="E15" s="14" t="inlineStr">
        <is>
          <t>Informado</t>
        </is>
      </c>
      <c r="F15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5" customWidth="1" min="3" max="3"/>
    <col width="48" customWidth="1" min="4" max="4"/>
    <col width="16" customWidth="1" min="5" max="5"/>
  </cols>
  <sheetData>
    <row r="1">
      <c r="A1" s="1" t="inlineStr">
        <is>
          <t>Transição</t>
        </is>
      </c>
      <c r="B1" s="1" t="inlineStr">
        <is>
          <t>Porta</t>
        </is>
      </c>
      <c r="C1" s="1" t="inlineStr">
        <is>
          <t>Encontro</t>
        </is>
      </c>
      <c r="D1" s="1" t="inlineStr">
        <is>
          <t>Soleira</t>
        </is>
      </c>
      <c r="E1" s="1" t="inlineStr">
        <is>
          <t>Comprimento (m)</t>
        </is>
      </c>
    </row>
    <row r="2">
      <c r="A2" t="inlineStr">
        <is>
          <t>T01</t>
        </is>
      </c>
      <c r="B2" t="inlineStr">
        <is>
          <t>P02</t>
        </is>
      </c>
      <c r="C2" t="inlineStr">
        <is>
          <t>Garagem (P01) / Corredor Lateral Externo (P02 ou PI01)</t>
        </is>
      </c>
      <c r="D2" t="inlineStr">
        <is>
          <t>Mármore Itaúnas, baguete 5 cm de profundidade</t>
        </is>
      </c>
      <c r="E2" t="n">
        <v>0.8</v>
      </c>
    </row>
    <row r="3">
      <c r="A3" t="inlineStr">
        <is>
          <t>T02</t>
        </is>
      </c>
      <c r="B3" t="inlineStr">
        <is>
          <t>P07</t>
        </is>
      </c>
      <c r="C3" t="inlineStr">
        <is>
          <t>Lavanderia (P01) / Corredor Lateral Externo (P02 ou PI01)</t>
        </is>
      </c>
      <c r="D3" t="inlineStr">
        <is>
          <t>Mármore Itaúnas, baguete 5 cm de profundidade</t>
        </is>
      </c>
      <c r="E3" t="n">
        <v>1.8</v>
      </c>
    </row>
    <row r="4">
      <c r="A4" t="inlineStr">
        <is>
          <t>T03</t>
        </is>
      </c>
      <c r="B4" t="inlineStr">
        <is>
          <t>P05</t>
        </is>
      </c>
      <c r="C4" t="inlineStr">
        <is>
          <t>Sala TV / Sala Jantar (P01) / Varanda Gourmet (P02)</t>
        </is>
      </c>
      <c r="D4" t="inlineStr">
        <is>
          <t>Mármore Itaúnas, baguete 5 cm de profundidade</t>
        </is>
      </c>
      <c r="E4" t="n">
        <v>3</v>
      </c>
    </row>
    <row r="5">
      <c r="A5" t="inlineStr">
        <is>
          <t>T04</t>
        </is>
      </c>
      <c r="B5" t="inlineStr">
        <is>
          <t>P05</t>
        </is>
      </c>
      <c r="C5" t="inlineStr">
        <is>
          <t>Sala TV / Sala Jantar (P01) / Deck (P02)</t>
        </is>
      </c>
      <c r="D5" t="inlineStr">
        <is>
          <t>Mármore Itaúnas, baguete 5 cm de profundidade</t>
        </is>
      </c>
      <c r="E5" t="n">
        <v>3</v>
      </c>
    </row>
    <row r="6">
      <c r="A6" t="inlineStr">
        <is>
          <t>T05</t>
        </is>
      </c>
      <c r="B6" t="inlineStr">
        <is>
          <t>P10</t>
        </is>
      </c>
      <c r="C6" t="inlineStr">
        <is>
          <t>Quarto Casal (P01) / Deck (P02)</t>
        </is>
      </c>
      <c r="D6" t="inlineStr">
        <is>
          <t>Mármore Itaúnas, baguete 5 cm de profundidade</t>
        </is>
      </c>
      <c r="E6" t="n">
        <v>2.7</v>
      </c>
    </row>
    <row r="7">
      <c r="A7" t="inlineStr">
        <is>
          <t>T06</t>
        </is>
      </c>
      <c r="B7" t="inlineStr">
        <is>
          <t>P11</t>
        </is>
      </c>
      <c r="C7" t="inlineStr">
        <is>
          <t>Banheiro Externo (P01) / Deck (P02)</t>
        </is>
      </c>
      <c r="D7" t="inlineStr">
        <is>
          <t>Mármore Itaúnas, baguete 5 cm de profundidade</t>
        </is>
      </c>
      <c r="E7" t="n">
        <v>0.8</v>
      </c>
    </row>
    <row r="8">
      <c r="A8" t="inlineStr">
        <is>
          <t>T07</t>
        </is>
      </c>
      <c r="B8" t="inlineStr">
        <is>
          <t>P03</t>
        </is>
      </c>
      <c r="C8" t="inlineStr">
        <is>
          <t>Deck (P02) / Acesso externo (PP01)</t>
        </is>
      </c>
      <c r="D8" t="inlineStr">
        <is>
          <t>Mármore Itaúnas, baguete 5 cm de profundidade</t>
        </is>
      </c>
      <c r="E8" t="n">
        <v>0.9</v>
      </c>
    </row>
    <row r="9">
      <c r="A9" t="inlineStr">
        <is>
          <t>T08</t>
        </is>
      </c>
      <c r="B9" t="inlineStr">
        <is>
          <t>—</t>
        </is>
      </c>
      <c r="C9" t="inlineStr">
        <is>
          <t>Garagem (P01) / Rampa (PP01) — frente aberta</t>
        </is>
      </c>
      <c r="D9" t="inlineStr">
        <is>
          <t>Mármore Itaúnas, baguete 5 cm de profundidade</t>
        </is>
      </c>
      <c r="E9" t="n">
        <v>7.4</v>
      </c>
    </row>
    <row r="10">
      <c r="A10" t="inlineStr">
        <is>
          <t>T09</t>
        </is>
      </c>
      <c r="B10" t="inlineStr">
        <is>
          <t>—</t>
        </is>
      </c>
      <c r="C10" t="inlineStr">
        <is>
          <t>Garagem (P01) / Acesso externo (PP01) — lateral aberta</t>
        </is>
      </c>
      <c r="D10" t="inlineStr">
        <is>
          <t>Mármore Itaúnas, baguete 5 cm de profundidade</t>
        </is>
      </c>
      <c r="E10" t="n">
        <v>4.5</v>
      </c>
    </row>
    <row r="11">
      <c r="A11" s="15" t="inlineStr"/>
      <c r="B11" s="15" t="inlineStr"/>
      <c r="C11" s="15" t="inlineStr">
        <is>
          <t>TOTAL</t>
        </is>
      </c>
      <c r="D11" s="15" t="inlineStr"/>
      <c r="E11" s="15">
        <f>SUM(E2:E10)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0" customWidth="1" min="3" max="3"/>
  </cols>
  <sheetData>
    <row r="1">
      <c r="A1" s="1" t="inlineStr">
        <is>
          <t>Código</t>
        </is>
      </c>
      <c r="B1" s="1" t="inlineStr">
        <is>
          <t>Item</t>
        </is>
      </c>
      <c r="C1" s="1" t="inlineStr">
        <is>
          <t>Especificação</t>
        </is>
      </c>
    </row>
    <row r="2">
      <c r="A2" t="inlineStr">
        <is>
          <t>P01</t>
        </is>
      </c>
      <c r="B2" t="inlineStr">
        <is>
          <t>Descrição</t>
        </is>
      </c>
      <c r="C2" t="inlineStr">
        <is>
          <t>Porcelanato esmaltado Santorini OFW NAT (Off White), borda retificada</t>
        </is>
      </c>
    </row>
    <row r="3">
      <c r="A3" t="inlineStr">
        <is>
          <t>P01</t>
        </is>
      </c>
      <c r="B3" t="inlineStr">
        <is>
          <t>Fabricação</t>
        </is>
      </c>
      <c r="C3" t="inlineStr">
        <is>
          <t>900 × 900 mm · espessura 7,0 mm · monocalibre</t>
        </is>
      </c>
    </row>
    <row r="4">
      <c r="A4" t="inlineStr">
        <is>
          <t>P01</t>
        </is>
      </c>
      <c r="B4" t="inlineStr">
        <is>
          <t>Embalagem</t>
        </is>
      </c>
      <c r="C4" t="inlineStr">
        <is>
          <t>3 peças / 2,43 m² por caixa</t>
        </is>
      </c>
    </row>
    <row r="5">
      <c r="A5" t="inlineStr">
        <is>
          <t>P01</t>
        </is>
      </c>
      <c r="B5" t="inlineStr">
        <is>
          <t>Uso</t>
        </is>
      </c>
      <c r="C5" t="inlineStr">
        <is>
          <t>áreas internas (Cód. Portinari, variação V e classe de uso: A CONFIRMAR na ficha)</t>
        </is>
      </c>
    </row>
    <row r="6">
      <c r="A6" t="inlineStr">
        <is>
          <t>P01</t>
        </is>
      </c>
      <c r="B6" t="inlineStr">
        <is>
          <t>Junta</t>
        </is>
      </c>
      <c r="C6" t="inlineStr">
        <is>
          <t>junta seca (fabricante)</t>
        </is>
      </c>
    </row>
    <row r="7">
      <c r="A7" t="inlineStr">
        <is>
          <t>P01</t>
        </is>
      </c>
      <c r="B7" t="inlineStr">
        <is>
          <t>Rejunte</t>
        </is>
      </c>
      <c r="C7" t="inlineStr">
        <is>
          <t>cor Corda (sugerida pelo fabricante) · proposta: argamassa de rejuntamento tipo II, NBR 14992, em WCs, banheiros, cozinha e lavanderia; tipo I nas áreas secas</t>
        </is>
      </c>
    </row>
    <row r="8">
      <c r="A8" t="inlineStr">
        <is>
          <t>P02</t>
        </is>
      </c>
      <c r="B8" t="inlineStr">
        <is>
          <t>Descrição</t>
        </is>
      </c>
      <c r="C8" t="inlineStr">
        <is>
          <t>Porcelanato esmaltado Santorini SGR HARD (Stone Gray, cinza), cód. 62928, borda retificada</t>
        </is>
      </c>
    </row>
    <row r="9">
      <c r="A9" t="inlineStr">
        <is>
          <t>P02</t>
        </is>
      </c>
      <c r="B9" t="inlineStr">
        <is>
          <t>Fabricação</t>
        </is>
      </c>
      <c r="C9" t="inlineStr">
        <is>
          <t>900 × 900 mm · espessura 8,0 mm · monocalibre</t>
        </is>
      </c>
    </row>
    <row r="10">
      <c r="A10" t="inlineStr">
        <is>
          <t>P02</t>
        </is>
      </c>
      <c r="B10" t="inlineStr">
        <is>
          <t>Embalagem</t>
        </is>
      </c>
      <c r="C10" t="inlineStr">
        <is>
          <t>2 peças / 1,62 m² por caixa</t>
        </is>
      </c>
    </row>
    <row r="11">
      <c r="A11" t="inlineStr">
        <is>
          <t>P02</t>
        </is>
      </c>
      <c r="B11" t="inlineStr">
        <is>
          <t>Uso</t>
        </is>
      </c>
      <c r="C11" t="inlineStr">
        <is>
          <t>USO 6 (residencial e comercial de tráfego intenso) · variação V3 · interno e externo</t>
        </is>
      </c>
    </row>
    <row r="12">
      <c r="A12" t="inlineStr">
        <is>
          <t>P02</t>
        </is>
      </c>
      <c r="B12" t="inlineStr">
        <is>
          <t>Junta</t>
        </is>
      </c>
      <c r="C12" t="inlineStr">
        <is>
          <t>junta seca (fabricante)</t>
        </is>
      </c>
    </row>
    <row r="13">
      <c r="A13" t="inlineStr">
        <is>
          <t>P02</t>
        </is>
      </c>
      <c r="B13" t="inlineStr">
        <is>
          <t>Rejunte</t>
        </is>
      </c>
      <c r="C13" t="inlineStr">
        <is>
          <t>cor Corda (sugerida pelo fabricante) · proposta: argamassa de rejuntamento tipo II, NBR 14992 (área externa)</t>
        </is>
      </c>
    </row>
    <row r="14">
      <c r="A14" t="inlineStr">
        <is>
          <t>P02 ou PI01</t>
        </is>
      </c>
      <c r="B14" t="inlineStr">
        <is>
          <t>Opção 1</t>
        </is>
      </c>
      <c r="C14" t="inlineStr">
        <is>
          <t>P02 — Porcelanato Santorini SGR HARD (dados acima)</t>
        </is>
      </c>
    </row>
    <row r="15">
      <c r="A15" t="inlineStr">
        <is>
          <t>P02 ou PI01</t>
        </is>
      </c>
      <c r="B15" t="inlineStr">
        <is>
          <t>Opção 2</t>
        </is>
      </c>
      <c r="C15" t="inlineStr">
        <is>
          <t>PI01 — Piso intertravado drenante (lajota/bloquete de concreto): dimensões, espessura, cor e resistência A CONFIRMAR (anúncio não acessível)</t>
        </is>
      </c>
    </row>
    <row r="17">
      <c r="A17" t="inlineStr"/>
      <c r="B17" t="inlineStr">
        <is>
          <t>Fonte</t>
        </is>
      </c>
      <c r="C17" t="inlineStr">
        <is>
          <t>Links do fabricante informados pela arquitetura (Portinari). Conferir na ficha técnica vigente.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2026-09-26T19:52:22Z</dcterms:created>
  <dcterms:modified xsi:type="dcterms:W3CDTF">2026-09-26T19:52:23Z</dcterms:modified>
</cp:coreProperties>
</file>