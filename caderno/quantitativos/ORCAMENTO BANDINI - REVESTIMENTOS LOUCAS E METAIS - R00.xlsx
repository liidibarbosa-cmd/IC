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stimentos" sheetId="1" state="visible" r:id="rId1"/>
    <sheet name="Louças e metais" sheetId="2" state="visible" r:id="rId2"/>
    <sheet name="Consolidado Bandini" sheetId="3" state="visible" r:id="rId3"/>
    <sheet name="Fora da Bandini" sheetId="4" state="visible" r:id="rId4"/>
    <sheet name="Não orç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E7C4"/>
    </font>
    <font>
      <b val="1"/>
    </font>
  </fonts>
  <fills count="5">
    <fill>
      <patternFill/>
    </fill>
    <fill>
      <patternFill patternType="gray125"/>
    </fill>
    <fill>
      <patternFill patternType="solid">
        <fgColor rgb="003F422F"/>
      </patternFill>
    </fill>
    <fill>
      <patternFill patternType="solid">
        <fgColor rgb="00FBF3DF"/>
      </patternFill>
    </fill>
    <fill>
      <patternFill patternType="solid">
        <fgColor rgb="00ECE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26" customWidth="1" min="5" max="5"/>
    <col width="46" customWidth="1" min="6" max="6"/>
    <col width="11" customWidth="1" min="7" max="7"/>
    <col width="10" customWidth="1" min="8" max="8"/>
    <col width="9" customWidth="1" min="9" max="9"/>
    <col width="14" customWidth="1" min="10" max="10"/>
    <col width="14" customWidth="1" min="11" max="11"/>
    <col width="50" customWidth="1" min="12" max="12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Fabricante</t>
        </is>
      </c>
      <c r="D1" s="1" t="inlineStr">
        <is>
          <t>Ref.</t>
        </is>
      </c>
      <c r="E1" s="1" t="inlineStr">
        <is>
          <t>Formato</t>
        </is>
      </c>
      <c r="F1" s="1" t="inlineStr">
        <is>
          <t>Composição</t>
        </is>
      </c>
      <c r="G1" s="1" t="inlineStr">
        <is>
          <t>m² líquidos</t>
        </is>
      </c>
      <c r="H1" s="1" t="inlineStr">
        <is>
          <t>m²/caixa</t>
        </is>
      </c>
      <c r="I1" s="1" t="inlineStr">
        <is>
          <t>Caixas</t>
        </is>
      </c>
      <c r="J1" s="1" t="inlineStr">
        <is>
          <t>Preço por caixa (R$)</t>
        </is>
      </c>
      <c r="K1" s="1" t="inlineStr">
        <is>
          <t>Total (R$)</t>
        </is>
      </c>
      <c r="L1" s="1" t="inlineStr">
        <is>
          <t>Observação</t>
        </is>
      </c>
    </row>
    <row r="2">
      <c r="A2" s="2" t="inlineStr">
        <is>
          <t>P01 · R01 · RP02</t>
        </is>
      </c>
      <c r="B2" s="2" t="inlineStr">
        <is>
          <t>Porcelanato Santorini OFW NAT</t>
        </is>
      </c>
      <c r="C2" s="2" t="inlineStr">
        <is>
          <t>Portinari</t>
        </is>
      </c>
      <c r="D2" s="2" t="inlineStr">
        <is>
          <t>A CONFIRMAR na loja</t>
        </is>
      </c>
      <c r="E2" s="2" t="inlineStr">
        <is>
          <t>90 × 90 cm · 7,0 mm · retificado</t>
        </is>
      </c>
      <c r="F2" s="2" t="inlineStr">
        <is>
          <t>Piso P01: 197.67; Rodapé R01 159,10 m × 0,08: 12.73; Parede RP02: 32.16</t>
        </is>
      </c>
      <c r="G2" s="2" t="n">
        <v>242.555</v>
      </c>
      <c r="H2" s="2" t="n">
        <v>2.43</v>
      </c>
      <c r="I2" s="2">
        <f>IF(ISNUMBER(H2),ROUNDUP(G2/H2,0),"")</f>
        <v/>
      </c>
      <c r="J2" s="3" t="n"/>
      <c r="K2" s="2">
        <f>IF(AND(ISNUMBER(I2),ISNUMBER(J2)),I2*J2,"")</f>
        <v/>
      </c>
      <c r="L2" s="2" t="inlineStr">
        <is>
          <t>Rodapé recortado das mesmas peças (perda de corte não incluída). Rejunte cor Corda, junta seca.</t>
        </is>
      </c>
    </row>
    <row r="3">
      <c r="A3" s="2" t="inlineStr">
        <is>
          <t>P02 · R02</t>
        </is>
      </c>
      <c r="B3" s="2" t="inlineStr">
        <is>
          <t>Porcelanato Santorini SGR HARD (Stone Gray)</t>
        </is>
      </c>
      <c r="C3" s="2" t="inlineStr">
        <is>
          <t>Portinari</t>
        </is>
      </c>
      <c r="D3" s="2" t="inlineStr">
        <is>
          <t>62928</t>
        </is>
      </c>
      <c r="E3" s="2" t="inlineStr">
        <is>
          <t>90 × 90 cm · 8,0 mm · retificado</t>
        </is>
      </c>
      <c r="F3" s="2" t="inlineStr">
        <is>
          <t>Piso P02 (varanda + deck): 96.01; Rodapé R02 30,04 m × 0,08: 2.40</t>
        </is>
      </c>
      <c r="G3" s="2" t="n">
        <v>98.413</v>
      </c>
      <c r="H3" s="2" t="n">
        <v>1.62</v>
      </c>
      <c r="I3" s="2">
        <f>IF(ISNUMBER(H3),ROUNDUP(G3/H3,0),"")</f>
        <v/>
      </c>
      <c r="J3" s="3" t="n"/>
      <c r="K3" s="2">
        <f>IF(AND(ISNUMBER(I3),ISNUMBER(J3)),I3*J3,"")</f>
        <v/>
      </c>
      <c r="L3" s="2" t="inlineStr">
        <is>
          <t>Rejunte cor Corda, junta seca.</t>
        </is>
      </c>
    </row>
    <row r="4">
      <c r="A4" s="2" t="inlineStr">
        <is>
          <t>P02 (opcional)</t>
        </is>
      </c>
      <c r="B4" s="2" t="inlineStr">
        <is>
          <t>Porcelanato Santorini SGR HARD — Corredor Lateral Externo</t>
        </is>
      </c>
      <c r="C4" s="2" t="inlineStr">
        <is>
          <t>Portinari</t>
        </is>
      </c>
      <c r="D4" s="2" t="inlineStr">
        <is>
          <t>62928</t>
        </is>
      </c>
      <c r="E4" s="2" t="inlineStr">
        <is>
          <t>90 × 90 cm · 8,0 mm</t>
        </is>
      </c>
      <c r="F4" s="2" t="inlineStr">
        <is>
          <t>Corredor Lateral Externo: 23.93</t>
        </is>
      </c>
      <c r="G4" s="2" t="n">
        <v>23.93</v>
      </c>
      <c r="H4" s="2" t="n">
        <v>1.62</v>
      </c>
      <c r="I4" s="2">
        <f>IF(ISNUMBER(H4),ROUNDUP(G4/H4,0),"")</f>
        <v/>
      </c>
      <c r="J4" s="3" t="n"/>
      <c r="K4" s="2">
        <f>IF(AND(ISNUMBER(I4),ISNUMBER(J4)),I4*J4,"")</f>
        <v/>
      </c>
      <c r="L4" s="2" t="inlineStr">
        <is>
          <t>Somente se o corredor for em P02 (alternativa: piso intertravado drenante, fora da Bandini).</t>
        </is>
      </c>
    </row>
    <row r="5">
      <c r="A5" s="2" t="inlineStr">
        <is>
          <t>RP03</t>
        </is>
      </c>
      <c r="B5" s="2" t="inlineStr">
        <is>
          <t>Porcelanato Confete WH NAT</t>
        </is>
      </c>
      <c r="C5" s="2" t="inlineStr">
        <is>
          <t>CEUSA</t>
        </is>
      </c>
      <c r="D5" s="2" t="inlineStr">
        <is>
          <t>5041209A</t>
        </is>
      </c>
      <c r="E5" s="2" t="inlineStr">
        <is>
          <t>100 × 100 cm · 9,0 mm · retificado</t>
        </is>
      </c>
      <c r="F5" s="2" t="inlineStr">
        <is>
          <t>Banheiro Casal — fundo do box + nicho: 5.41</t>
        </is>
      </c>
      <c r="G5" s="2" t="n">
        <v>5.407</v>
      </c>
      <c r="H5" s="2" t="n">
        <v>2</v>
      </c>
      <c r="I5" s="2">
        <f>IF(ISNUMBER(H5),ROUNDUP(G5/H5,0),"")</f>
        <v/>
      </c>
      <c r="J5" s="3" t="n"/>
      <c r="K5" s="2">
        <f>IF(AND(ISNUMBER(I5),ISNUMBER(J5)),I5*J5,"")</f>
        <v/>
      </c>
      <c r="L5" s="2" t="inlineStr">
        <is>
          <t>Listado no site da Bandini (CONFET WH NAT 41209).</t>
        </is>
      </c>
    </row>
    <row r="6">
      <c r="A6" s="2" t="inlineStr">
        <is>
          <t>RP04</t>
        </is>
      </c>
      <c r="B6" s="2" t="inlineStr">
        <is>
          <t>Porcelanato Confete PK NAT (Pink)</t>
        </is>
      </c>
      <c r="C6" s="2" t="inlineStr">
        <is>
          <t>CEUSA</t>
        </is>
      </c>
      <c r="D6" s="2" t="inlineStr">
        <is>
          <t>5041210A</t>
        </is>
      </c>
      <c r="E6" s="2" t="inlineStr">
        <is>
          <t>100 × 100 cm · 9,0 mm (A CONFIRMAR)</t>
        </is>
      </c>
      <c r="F6" s="2" t="inlineStr">
        <is>
          <t>WC 01 e WC 02 — fundo do box + nicho: 8.07</t>
        </is>
      </c>
      <c r="G6" s="2" t="n">
        <v>8.07</v>
      </c>
      <c r="H6" s="2" t="n">
        <v>2</v>
      </c>
      <c r="I6" s="2">
        <f>IF(ISNUMBER(H6),ROUNDUP(G6/H6,0),"")</f>
        <v/>
      </c>
      <c r="J6" s="3" t="n"/>
      <c r="K6" s="2">
        <f>IF(AND(ISNUMBER(I6),ISNUMBER(J6)),I6*J6,"")</f>
        <v/>
      </c>
      <c r="L6" s="2" t="inlineStr">
        <is>
          <t>FORMATO A CONFIRMAR: a imagem do projeto mostra peças pequenas. m²/caixa conforme o 100 × 100.</t>
        </is>
      </c>
    </row>
    <row r="7">
      <c r="A7" s="2" t="inlineStr">
        <is>
          <t>RP05</t>
        </is>
      </c>
      <c r="B7" s="2" t="inlineStr">
        <is>
          <t>Revestimento Fatto Oliva AC</t>
        </is>
      </c>
      <c r="C7" s="2" t="inlineStr">
        <is>
          <t>Decortiles</t>
        </is>
      </c>
      <c r="D7" s="2" t="inlineStr">
        <is>
          <t>SC 8068139</t>
        </is>
      </c>
      <c r="E7" s="2" t="inlineStr">
        <is>
          <t>30 × 90 cm</t>
        </is>
      </c>
      <c r="F7" s="2" t="inlineStr">
        <is>
          <t>Banheiro Externo — fundo do box + nicho: 4.33</t>
        </is>
      </c>
      <c r="G7" s="2" t="n">
        <v>4.33</v>
      </c>
      <c r="H7" s="2" t="inlineStr">
        <is>
          <t>A CONFIRMAR</t>
        </is>
      </c>
      <c r="I7" s="2">
        <f>IF(ISNUMBER(H7),ROUNDUP(G7/H7,0),"")</f>
        <v/>
      </c>
      <c r="J7" s="3" t="n"/>
      <c r="K7" s="2">
        <f>IF(AND(ISNUMBER(I7),ISNUMBER(J7)),I7*J7,"")</f>
        <v/>
      </c>
      <c r="L7" s="2" t="inlineStr">
        <is>
          <t>m² por caixa A CONFIRMAR com a loja.</t>
        </is>
      </c>
    </row>
    <row r="8">
      <c r="A8" s="2" t="inlineStr">
        <is>
          <t>RP07</t>
        </is>
      </c>
      <c r="B8" s="2" t="inlineStr">
        <is>
          <t>Revestimento Eliane Forma Branco AC (fundo da marcenaria)</t>
        </is>
      </c>
      <c r="C8" s="2" t="inlineStr">
        <is>
          <t>Eliane</t>
        </is>
      </c>
      <c r="D8" s="2" t="inlineStr">
        <is>
          <t>SC 8039383</t>
        </is>
      </c>
      <c r="E8" s="2" t="inlineStr">
        <is>
          <t>30 × 40 cm · 6,5 mm</t>
        </is>
      </c>
      <c r="F8" s="2" t="inlineStr">
        <is>
          <t>Cozinha — paredes esquerda e superior: 23.02</t>
        </is>
      </c>
      <c r="G8" s="2" t="n">
        <v>23.025</v>
      </c>
      <c r="H8" s="2" t="n">
        <v>1.92</v>
      </c>
      <c r="I8" s="2">
        <f>IF(ISNUMBER(H8),ROUNDUP(G8/H8,0),"")</f>
        <v/>
      </c>
      <c r="J8" s="3" t="n"/>
      <c r="K8" s="2">
        <f>IF(AND(ISNUMBER(I8),ISNUMBER(J8)),I8*J8,"")</f>
        <v/>
      </c>
      <c r="L8" s="2" t="inlineStr">
        <is>
          <t>Junta 2 mm (fabricante).</t>
        </is>
      </c>
    </row>
    <row r="9">
      <c r="A9" s="2" t="inlineStr"/>
      <c r="B9" s="4" t="inlineStr">
        <is>
          <t>TOTAL (sem a linha opcional)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>
        <f>SUM(K2:K3)+SUM(K5:K8)</f>
        <v/>
      </c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Complementos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2" t="inlineStr">
        <is>
          <t>Rejunte cor Corda</t>
        </is>
      </c>
      <c r="B12" s="2" t="inlineStr">
        <is>
          <t>P01, P02, R01, R02, RP02 (junta seca — fabricante Portinari)</t>
        </is>
      </c>
      <c r="C12" s="2" t="inlineStr"/>
      <c r="D12" s="2" t="inlineStr"/>
      <c r="E12" s="2" t="inlineStr">
        <is>
          <t>Marca e tipo a definir (proposta: NBR 14992 tipo II em áreas externas e molhadas)</t>
        </is>
      </c>
      <c r="F12" s="2" t="inlineStr"/>
      <c r="G12" s="2" t="inlineStr">
        <is>
          <t>A CONFIRMAR</t>
        </is>
      </c>
      <c r="H12" s="2" t="n"/>
      <c r="I12" s="2" t="n"/>
      <c r="J12" s="2" t="n"/>
      <c r="K12" s="2" t="n"/>
      <c r="L12" s="2" t="n"/>
    </row>
    <row r="13">
      <c r="A13" s="2" t="inlineStr">
        <is>
          <t>Rejunte Confete Pink</t>
        </is>
      </c>
      <c r="B13" s="2" t="inlineStr">
        <is>
          <t>RP04</t>
        </is>
      </c>
      <c r="C13" s="2" t="inlineStr"/>
      <c r="D13" s="2" t="inlineStr"/>
      <c r="E13" s="2" t="inlineStr">
        <is>
          <t>Cores sugeridas pelo fabricante: Quartzolit Preto Grafite, Rejuntabras Marfim ou Quartzobras Castor</t>
        </is>
      </c>
      <c r="F13" s="2" t="inlineStr"/>
      <c r="G13" s="2" t="inlineStr">
        <is>
          <t>A CONFIRMAR</t>
        </is>
      </c>
      <c r="H13" s="2" t="n"/>
      <c r="I13" s="2" t="n"/>
      <c r="J13" s="2" t="n"/>
      <c r="K13" s="2" t="n"/>
      <c r="L13" s="2" t="n"/>
    </row>
    <row r="14">
      <c r="A14" s="2" t="inlineStr">
        <is>
          <t>Rejunte Confete WH, Fatto Oliva e Eliane Forma</t>
        </is>
      </c>
      <c r="B14" s="2" t="inlineStr">
        <is>
          <t>RP03, RP05, RP07</t>
        </is>
      </c>
      <c r="C14" s="2" t="inlineStr"/>
      <c r="D14" s="2" t="inlineStr"/>
      <c r="E14" s="2" t="inlineStr">
        <is>
          <t>Cor e tipo A CONFIRMAR</t>
        </is>
      </c>
      <c r="F14" s="2" t="inlineStr"/>
      <c r="G14" s="2" t="inlineStr">
        <is>
          <t>A CONFIRMAR</t>
        </is>
      </c>
      <c r="H14" s="2" t="n"/>
      <c r="I14" s="2" t="n"/>
      <c r="J14" s="2" t="n"/>
      <c r="K14" s="2" t="n"/>
      <c r="L14" s="2" t="n"/>
    </row>
    <row r="15">
      <c r="A15" s="2" t="inlineStr">
        <is>
          <t>Argamassa colante</t>
        </is>
      </c>
      <c r="B15" s="2" t="inlineStr">
        <is>
          <t>Todos os revestimentos</t>
        </is>
      </c>
      <c r="C15" s="2" t="inlineStr"/>
      <c r="D15" s="2" t="inlineStr"/>
      <c r="E15" s="2" t="inlineStr">
        <is>
          <t>Tipo e consumo conforme fabricante (porcelanato grande formato; áreas externas)</t>
        </is>
      </c>
      <c r="F15" s="2" t="inlineStr"/>
      <c r="G15" s="2" t="inlineStr">
        <is>
          <t>A CONFIRMAR</t>
        </is>
      </c>
      <c r="H15" s="2" t="n"/>
      <c r="I15" s="2" t="n"/>
      <c r="J15" s="2" t="n"/>
      <c r="K15" s="2" t="n"/>
      <c r="L15" s="2" t="n"/>
    </row>
    <row r="16">
      <c r="A16" s="2" t="inlineStr">
        <is>
          <t>Perfil metálico em L (cantoneira)</t>
        </is>
      </c>
      <c r="B16" s="2" t="inlineStr">
        <is>
          <t>Desníveis entre pisos iguais (detalhe D2)</t>
        </is>
      </c>
      <c r="C16" s="2" t="inlineStr"/>
      <c r="D16" s="2" t="inlineStr"/>
      <c r="E16" s="2" t="inlineStr">
        <is>
          <t>Sem desníveis documentados — quantidade A CONFIRMAR</t>
        </is>
      </c>
      <c r="F16" s="2" t="inlineStr"/>
      <c r="G16" s="2" t="inlineStr">
        <is>
          <t>A CONFIRMAR</t>
        </is>
      </c>
      <c r="H16" s="2" t="n"/>
      <c r="I16" s="2" t="n"/>
      <c r="J16" s="2" t="n"/>
      <c r="K16" s="2" t="n"/>
      <c r="L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60" customWidth="1" min="10" max="10"/>
  </cols>
  <sheetData>
    <row r="1">
      <c r="A1" s="1" t="inlineStr">
        <is>
          <t>Ambiente</t>
        </is>
      </c>
      <c r="B1" s="1" t="inlineStr">
        <is>
          <t>Item</t>
        </is>
      </c>
      <c r="C1" s="1" t="inlineStr">
        <is>
          <t>Descrição técnica</t>
        </is>
      </c>
      <c r="D1" s="1" t="inlineStr">
        <is>
          <t>Marca/linha</t>
        </is>
      </c>
      <c r="E1" s="1" t="inlineStr">
        <is>
          <t>Referência</t>
        </is>
      </c>
      <c r="F1" s="1" t="inlineStr">
        <is>
          <t>Cor/acabamento</t>
        </is>
      </c>
      <c r="G1" s="1" t="inlineStr">
        <is>
          <t>Qtd.</t>
        </is>
      </c>
      <c r="H1" s="1" t="inlineStr">
        <is>
          <t>Preço unit. (R$)</t>
        </is>
      </c>
      <c r="I1" s="1" t="inlineStr">
        <is>
          <t>Total (R$)</t>
        </is>
      </c>
      <c r="J1" s="1" t="inlineStr">
        <is>
          <t>Observação</t>
        </is>
      </c>
    </row>
    <row r="2">
      <c r="A2" s="2" t="inlineStr">
        <is>
          <t>WC 01 e WC 02</t>
        </is>
      </c>
      <c r="B2" s="2" t="inlineStr">
        <is>
          <t>Chuveiro</t>
        </is>
      </c>
      <c r="C2" s="2" t="inlineStr">
        <is>
          <t>Kit chuveiro de parede com desviador e ducha manual</t>
        </is>
      </c>
      <c r="D2" s="2" t="inlineStr">
        <is>
          <t>Deca / Acqua Plus</t>
        </is>
      </c>
      <c r="E2" s="2" t="inlineStr">
        <is>
          <t>—</t>
        </is>
      </c>
      <c r="F2" s="2" t="inlineStr">
        <is>
          <t>Cromado</t>
        </is>
      </c>
      <c r="G2" s="2" t="n">
        <v>2</v>
      </c>
      <c r="H2" s="3" t="n"/>
      <c r="I2" s="2">
        <f>IF(AND(ISNUMBER(G2),ISNUMBER(H2)),G2*H2,"")</f>
        <v/>
      </c>
      <c r="J2" s="2" t="inlineStr"/>
    </row>
    <row r="3">
      <c r="A3" s="2" t="inlineStr">
        <is>
          <t>WC 01 e WC 02</t>
        </is>
      </c>
      <c r="B3" s="2" t="inlineStr">
        <is>
          <t>Chuveiro</t>
        </is>
      </c>
      <c r="C3" s="2" t="inlineStr">
        <is>
          <t>Acabamento de registro para misturador de duas alavancas (água quente e fria)</t>
        </is>
      </c>
      <c r="D3" s="2" t="inlineStr">
        <is>
          <t>Deca / Level</t>
        </is>
      </c>
      <c r="E3" s="2" t="inlineStr">
        <is>
          <t>4900.C26.GD</t>
        </is>
      </c>
      <c r="F3" s="2" t="inlineStr">
        <is>
          <t>Cromado</t>
        </is>
      </c>
      <c r="G3" s="2" t="n">
        <v>2</v>
      </c>
      <c r="H3" s="3" t="n"/>
      <c r="I3" s="2">
        <f>IF(AND(ISNUMBER(G3),ISNUMBER(H3)),G3*H3,"")</f>
        <v/>
      </c>
      <c r="J3" s="2" t="inlineStr">
        <is>
          <t>Compatível com o kit Acqua Plus.</t>
        </is>
      </c>
    </row>
    <row r="4">
      <c r="A4" s="2" t="inlineStr">
        <is>
          <t>WC 01 e WC 02</t>
        </is>
      </c>
      <c r="B4" s="2" t="inlineStr">
        <is>
          <t>Ducha higiênica</t>
        </is>
      </c>
      <c r="C4" s="2" t="inlineStr">
        <is>
          <t>Ducha higiênica com registro e derivação</t>
        </is>
      </c>
      <c r="D4" s="2" t="inlineStr">
        <is>
          <t>Deca / Level</t>
        </is>
      </c>
      <c r="E4" s="2" t="inlineStr">
        <is>
          <t>1984.C26.ACT</t>
        </is>
      </c>
      <c r="F4" s="2" t="inlineStr">
        <is>
          <t>Cromado</t>
        </is>
      </c>
      <c r="G4" s="2" t="n">
        <v>2</v>
      </c>
      <c r="H4" s="3" t="n"/>
      <c r="I4" s="2">
        <f>IF(AND(ISNUMBER(G4),ISNUMBER(H4)),G4*H4,"")</f>
        <v/>
      </c>
      <c r="J4" s="2" t="inlineStr"/>
    </row>
    <row r="5">
      <c r="A5" s="2" t="inlineStr">
        <is>
          <t>WC 01 e WC 02</t>
        </is>
      </c>
      <c r="B5" s="2" t="inlineStr">
        <is>
          <t>Bacia sanitária</t>
        </is>
      </c>
      <c r="C5" s="2" t="inlineStr">
        <is>
          <t>Bacia sanitária com caixa acoplada, acionamento por botão duplo</t>
        </is>
      </c>
      <c r="D5" s="2" t="inlineStr">
        <is>
          <t>Roca / ONA</t>
        </is>
      </c>
      <c r="E5" s="2" t="inlineStr">
        <is>
          <t>—</t>
        </is>
      </c>
      <c r="F5" s="2" t="inlineStr">
        <is>
          <t>Padrão do fabricante</t>
        </is>
      </c>
      <c r="G5" s="2" t="n">
        <v>2</v>
      </c>
      <c r="H5" s="3" t="n"/>
      <c r="I5" s="2">
        <f>IF(AND(ISNUMBER(G5),ISNUMBER(H5)),G5*H5,"")</f>
        <v/>
      </c>
      <c r="J5" s="2" t="inlineStr">
        <is>
          <t>Caixa acoplada: dispensa válvula de descarga; exige ponto de água fria na entrada da caixa.</t>
        </is>
      </c>
    </row>
    <row r="6">
      <c r="A6" s="2" t="inlineStr">
        <is>
          <t>WC 01 e WC 02</t>
        </is>
      </c>
      <c r="B6" s="2" t="inlineStr">
        <is>
          <t>Bacia sanitária</t>
        </is>
      </c>
      <c r="C6" s="2" t="inlineStr">
        <is>
          <t>Assento sanitário original da linha</t>
        </is>
      </c>
      <c r="D6" s="2" t="inlineStr">
        <is>
          <t>Roca / ONA</t>
        </is>
      </c>
      <c r="E6" s="2" t="inlineStr">
        <is>
          <t>—</t>
        </is>
      </c>
      <c r="F6" s="2" t="inlineStr">
        <is>
          <t>Padrão do fabricante</t>
        </is>
      </c>
      <c r="G6" s="2" t="n">
        <v>2</v>
      </c>
      <c r="H6" s="3" t="n"/>
      <c r="I6" s="2">
        <f>IF(AND(ISNUMBER(G6),ISNUMBER(H6)),G6*H6,"")</f>
        <v/>
      </c>
      <c r="J6" s="2" t="inlineStr"/>
    </row>
    <row r="7">
      <c r="A7" s="2" t="inlineStr">
        <is>
          <t>WC 01 e WC 02</t>
        </is>
      </c>
      <c r="B7" s="2" t="inlineStr">
        <is>
          <t>Lavatório</t>
        </is>
      </c>
      <c r="C7" s="2" t="inlineStr">
        <is>
          <t>Cuba de embutir retangular 50×40 cm, louça</t>
        </is>
      </c>
      <c r="D7" s="2" t="inlineStr">
        <is>
          <t>Deca</t>
        </is>
      </c>
      <c r="E7" s="2" t="inlineStr">
        <is>
          <t>—</t>
        </is>
      </c>
      <c r="F7" s="2" t="inlineStr">
        <is>
          <t>Branca</t>
        </is>
      </c>
      <c r="G7" s="2" t="n">
        <v>2</v>
      </c>
      <c r="H7" s="3" t="n"/>
      <c r="I7" s="2">
        <f>IF(AND(ISNUMBER(G7),ISNUMBER(H7)),G7*H7,"")</f>
        <v/>
      </c>
      <c r="J7" s="2" t="inlineStr">
        <is>
          <t>Bancada com recorte para cuba de embutir.</t>
        </is>
      </c>
    </row>
    <row r="8">
      <c r="A8" s="2" t="inlineStr">
        <is>
          <t>WC 01 e WC 02</t>
        </is>
      </c>
      <c r="B8" s="2" t="inlineStr">
        <is>
          <t>Lavatório</t>
        </is>
      </c>
      <c r="C8" s="2" t="inlineStr">
        <is>
          <t>Torneira de mesa para lavatório, bica baixa</t>
        </is>
      </c>
      <c r="D8" s="2" t="inlineStr">
        <is>
          <t>Deca / Level</t>
        </is>
      </c>
      <c r="E8" s="2" t="inlineStr">
        <is>
          <t>1193.C26</t>
        </is>
      </c>
      <c r="F8" s="2" t="inlineStr">
        <is>
          <t>Cromado</t>
        </is>
      </c>
      <c r="G8" s="2" t="n">
        <v>2</v>
      </c>
      <c r="H8" s="3" t="n"/>
      <c r="I8" s="2">
        <f>IF(AND(ISNUMBER(G8),ISNUMBER(H8)),G8*H8,"")</f>
        <v/>
      </c>
      <c r="J8" s="2" t="inlineStr">
        <is>
          <t>Torneira convencional (definido).</t>
        </is>
      </c>
    </row>
    <row r="9">
      <c r="A9" s="2" t="inlineStr">
        <is>
          <t>WC 01 e WC 02</t>
        </is>
      </c>
      <c r="B9" s="2" t="inlineStr">
        <is>
          <t>Lavatório</t>
        </is>
      </c>
      <c r="C9" s="2" t="inlineStr">
        <is>
          <t>Válvula de escoamento tipo click para lavatório</t>
        </is>
      </c>
      <c r="D9" s="2" t="inlineStr">
        <is>
          <t>Deca</t>
        </is>
      </c>
      <c r="E9" s="2" t="inlineStr">
        <is>
          <t>1601.C.CLI</t>
        </is>
      </c>
      <c r="F9" s="2" t="inlineStr">
        <is>
          <t>Cromado</t>
        </is>
      </c>
      <c r="G9" s="2" t="n">
        <v>2</v>
      </c>
      <c r="H9" s="3" t="n"/>
      <c r="I9" s="2">
        <f>IF(AND(ISNUMBER(G9),ISNUMBER(H9)),G9*H9,"")</f>
        <v/>
      </c>
      <c r="J9" s="2" t="inlineStr"/>
    </row>
    <row r="10">
      <c r="A10" s="2" t="inlineStr">
        <is>
          <t>WC 01 e WC 02</t>
        </is>
      </c>
      <c r="B10" s="2" t="inlineStr">
        <is>
          <t>Lavatório</t>
        </is>
      </c>
      <c r="C10" s="2" t="inlineStr">
        <is>
          <t>Engate flexível com malha de aço inox trançado</t>
        </is>
      </c>
      <c r="D10" s="2" t="inlineStr">
        <is>
          <t>Deca</t>
        </is>
      </c>
      <c r="E10" s="2" t="inlineStr">
        <is>
          <t>4607.C.030 ou 4607.C.040</t>
        </is>
      </c>
      <c r="F10" s="2" t="inlineStr">
        <is>
          <t>Cromado</t>
        </is>
      </c>
      <c r="G10" s="2" t="n">
        <v>2</v>
      </c>
      <c r="H10" s="3" t="n"/>
      <c r="I10" s="2">
        <f>IF(AND(ISNUMBER(G10),ISNUMBER(H10)),G10*H10,"")</f>
        <v/>
      </c>
      <c r="J10" s="2" t="inlineStr">
        <is>
          <t>Comprimento (30 ou 40 cm) a definir em obra.</t>
        </is>
      </c>
    </row>
    <row r="11">
      <c r="A11" s="2" t="inlineStr">
        <is>
          <t>WC 01 e WC 02</t>
        </is>
      </c>
      <c r="B11" s="2" t="inlineStr">
        <is>
          <t>Acessórios</t>
        </is>
      </c>
      <c r="C11" s="2" t="inlineStr">
        <is>
          <t>Porta-toalha barra simples</t>
        </is>
      </c>
      <c r="D11" s="2" t="inlineStr">
        <is>
          <t>Deca / You</t>
        </is>
      </c>
      <c r="E11" s="2" t="inlineStr">
        <is>
          <t>—</t>
        </is>
      </c>
      <c r="F11" s="2" t="inlineStr">
        <is>
          <t>Cromado</t>
        </is>
      </c>
      <c r="G11" s="2" t="n">
        <v>2</v>
      </c>
      <c r="H11" s="3" t="n"/>
      <c r="I11" s="2">
        <f>IF(AND(ISNUMBER(G11),ISNUMBER(H11)),G11*H11,"")</f>
        <v/>
      </c>
      <c r="J11" s="2" t="inlineStr"/>
    </row>
    <row r="12">
      <c r="A12" s="2" t="inlineStr">
        <is>
          <t>WC 01 e WC 02</t>
        </is>
      </c>
      <c r="B12" s="2" t="inlineStr">
        <is>
          <t>Acessórios</t>
        </is>
      </c>
      <c r="C12" s="2" t="inlineStr">
        <is>
          <t>Porta-toalha de rosto / cabide</t>
        </is>
      </c>
      <c r="D12" s="2" t="inlineStr">
        <is>
          <t>Deca / You</t>
        </is>
      </c>
      <c r="E12" s="2" t="inlineStr">
        <is>
          <t>—</t>
        </is>
      </c>
      <c r="F12" s="2" t="inlineStr">
        <is>
          <t>Cromado</t>
        </is>
      </c>
      <c r="G12" s="2" t="n">
        <v>2</v>
      </c>
      <c r="H12" s="3" t="n"/>
      <c r="I12" s="2">
        <f>IF(AND(ISNUMBER(G12),ISNUMBER(H12)),G12*H12,"")</f>
        <v/>
      </c>
      <c r="J12" s="2" t="inlineStr"/>
    </row>
    <row r="13">
      <c r="A13" s="2" t="inlineStr">
        <is>
          <t>WC 01 e WC 02</t>
        </is>
      </c>
      <c r="B13" s="2" t="inlineStr">
        <is>
          <t>Acessórios</t>
        </is>
      </c>
      <c r="C13" s="2" t="inlineStr">
        <is>
          <t>Papeleira</t>
        </is>
      </c>
      <c r="D13" s="2" t="inlineStr">
        <is>
          <t>Deca / You</t>
        </is>
      </c>
      <c r="E13" s="2" t="inlineStr">
        <is>
          <t>—</t>
        </is>
      </c>
      <c r="F13" s="2" t="inlineStr">
        <is>
          <t>Cromado</t>
        </is>
      </c>
      <c r="G13" s="2" t="n">
        <v>2</v>
      </c>
      <c r="H13" s="3" t="n"/>
      <c r="I13" s="2">
        <f>IF(AND(ISNUMBER(G13),ISNUMBER(H13)),G13*H13,"")</f>
        <v/>
      </c>
      <c r="J13" s="2" t="inlineStr"/>
    </row>
    <row r="14">
      <c r="A14" s="2" t="inlineStr">
        <is>
          <t>Banheiro Casal</t>
        </is>
      </c>
      <c r="B14" s="2" t="inlineStr">
        <is>
          <t>Chuveiro</t>
        </is>
      </c>
      <c r="C14" s="2" t="inlineStr">
        <is>
          <t>Kit chuveiro de parede com desviador e ducha manual</t>
        </is>
      </c>
      <c r="D14" s="2" t="inlineStr">
        <is>
          <t>Deca / Acqua Plus</t>
        </is>
      </c>
      <c r="E14" s="2" t="inlineStr">
        <is>
          <t>—</t>
        </is>
      </c>
      <c r="F14" s="2" t="inlineStr">
        <is>
          <t>Cromado</t>
        </is>
      </c>
      <c r="G14" s="2" t="n">
        <v>1</v>
      </c>
      <c r="H14" s="3" t="n"/>
      <c r="I14" s="2">
        <f>IF(AND(ISNUMBER(G14),ISNUMBER(H14)),G14*H14,"")</f>
        <v/>
      </c>
      <c r="J14" s="2" t="inlineStr"/>
    </row>
    <row r="15">
      <c r="A15" s="2" t="inlineStr">
        <is>
          <t>Banheiro Casal</t>
        </is>
      </c>
      <c r="B15" s="2" t="inlineStr">
        <is>
          <t>Chuveiro</t>
        </is>
      </c>
      <c r="C15" s="2" t="inlineStr">
        <is>
          <t>Acabamento de registro para misturador de duas alavancas (água quente e fria)</t>
        </is>
      </c>
      <c r="D15" s="2" t="inlineStr">
        <is>
          <t>Deca / Level</t>
        </is>
      </c>
      <c r="E15" s="2" t="inlineStr">
        <is>
          <t>4900.C26.GD</t>
        </is>
      </c>
      <c r="F15" s="2" t="inlineStr">
        <is>
          <t>Cromado</t>
        </is>
      </c>
      <c r="G15" s="2" t="n">
        <v>1</v>
      </c>
      <c r="H15" s="3" t="n"/>
      <c r="I15" s="2">
        <f>IF(AND(ISNUMBER(G15),ISNUMBER(H15)),G15*H15,"")</f>
        <v/>
      </c>
      <c r="J15" s="2" t="inlineStr">
        <is>
          <t>Compatível com o kit Acqua Plus.</t>
        </is>
      </c>
    </row>
    <row r="16">
      <c r="A16" s="2" t="inlineStr">
        <is>
          <t>Banheiro Casal</t>
        </is>
      </c>
      <c r="B16" s="2" t="inlineStr">
        <is>
          <t>Ducha higiênica</t>
        </is>
      </c>
      <c r="C16" s="2" t="inlineStr">
        <is>
          <t>Ducha higiênica com registro e derivação</t>
        </is>
      </c>
      <c r="D16" s="2" t="inlineStr">
        <is>
          <t>Deca / Level</t>
        </is>
      </c>
      <c r="E16" s="2" t="inlineStr">
        <is>
          <t>1984.C26.ACT</t>
        </is>
      </c>
      <c r="F16" s="2" t="inlineStr">
        <is>
          <t>Cromado</t>
        </is>
      </c>
      <c r="G16" s="2" t="n">
        <v>1</v>
      </c>
      <c r="H16" s="3" t="n"/>
      <c r="I16" s="2">
        <f>IF(AND(ISNUMBER(G16),ISNUMBER(H16)),G16*H16,"")</f>
        <v/>
      </c>
      <c r="J16" s="2" t="inlineStr"/>
    </row>
    <row r="17">
      <c r="A17" s="2" t="inlineStr">
        <is>
          <t>Banheiro Casal</t>
        </is>
      </c>
      <c r="B17" s="2" t="inlineStr">
        <is>
          <t>Bacia sanitária</t>
        </is>
      </c>
      <c r="C17" s="2" t="inlineStr">
        <is>
          <t>Bacia sanitária com caixa acoplada, acionamento por botão duplo</t>
        </is>
      </c>
      <c r="D17" s="2" t="inlineStr">
        <is>
          <t>Roca / ONA</t>
        </is>
      </c>
      <c r="E17" s="2" t="inlineStr">
        <is>
          <t>—</t>
        </is>
      </c>
      <c r="F17" s="2" t="inlineStr">
        <is>
          <t>Padrão do fabricante</t>
        </is>
      </c>
      <c r="G17" s="2" t="n">
        <v>1</v>
      </c>
      <c r="H17" s="3" t="n"/>
      <c r="I17" s="2">
        <f>IF(AND(ISNUMBER(G17),ISNUMBER(H17)),G17*H17,"")</f>
        <v/>
      </c>
      <c r="J17" s="2" t="inlineStr">
        <is>
          <t>Caixa acoplada: dispensa válvula de descarga; exige ponto de água fria na entrada da caixa.</t>
        </is>
      </c>
    </row>
    <row r="18">
      <c r="A18" s="2" t="inlineStr">
        <is>
          <t>Banheiro Casal</t>
        </is>
      </c>
      <c r="B18" s="2" t="inlineStr">
        <is>
          <t>Bacia sanitária</t>
        </is>
      </c>
      <c r="C18" s="2" t="inlineStr">
        <is>
          <t>Assento sanitário original da linha</t>
        </is>
      </c>
      <c r="D18" s="2" t="inlineStr">
        <is>
          <t>Roca / ONA</t>
        </is>
      </c>
      <c r="E18" s="2" t="inlineStr">
        <is>
          <t>—</t>
        </is>
      </c>
      <c r="F18" s="2" t="inlineStr">
        <is>
          <t>Padrão do fabricante</t>
        </is>
      </c>
      <c r="G18" s="2" t="n">
        <v>1</v>
      </c>
      <c r="H18" s="3" t="n"/>
      <c r="I18" s="2">
        <f>IF(AND(ISNUMBER(G18),ISNUMBER(H18)),G18*H18,"")</f>
        <v/>
      </c>
      <c r="J18" s="2" t="inlineStr"/>
    </row>
    <row r="19">
      <c r="A19" s="2" t="inlineStr">
        <is>
          <t>Banheiro Casal</t>
        </is>
      </c>
      <c r="B19" s="2" t="inlineStr">
        <is>
          <t>Lavatório</t>
        </is>
      </c>
      <c r="C19" s="2" t="inlineStr">
        <is>
          <t>Cuba de embutir retangular 50×40 cm, louça</t>
        </is>
      </c>
      <c r="D19" s="2" t="inlineStr">
        <is>
          <t>Deca</t>
        </is>
      </c>
      <c r="E19" s="2" t="inlineStr">
        <is>
          <t>—</t>
        </is>
      </c>
      <c r="F19" s="2" t="inlineStr">
        <is>
          <t>Branca</t>
        </is>
      </c>
      <c r="G19" s="2" t="inlineStr">
        <is>
          <t>1 ou 2</t>
        </is>
      </c>
      <c r="H19" s="3" t="n"/>
      <c r="I19" s="2">
        <f>IF(AND(ISNUMBER(G19),ISNUMBER(H19)),G19*H19,"")</f>
        <v/>
      </c>
      <c r="J19" s="2" t="inlineStr">
        <is>
          <t>Depende de a bancada ser simples ou dupla — A CONFIRMAR.</t>
        </is>
      </c>
    </row>
    <row r="20">
      <c r="A20" s="2" t="inlineStr">
        <is>
          <t>Banheiro Casal</t>
        </is>
      </c>
      <c r="B20" s="2" t="inlineStr">
        <is>
          <t>Lavatório</t>
        </is>
      </c>
      <c r="C20" s="2" t="inlineStr">
        <is>
          <t>Torneira de mesa para lavatório, bica baixa</t>
        </is>
      </c>
      <c r="D20" s="2" t="inlineStr">
        <is>
          <t>Deca / Level</t>
        </is>
      </c>
      <c r="E20" s="2" t="inlineStr">
        <is>
          <t>1193.C26</t>
        </is>
      </c>
      <c r="F20" s="2" t="inlineStr">
        <is>
          <t>Cromado</t>
        </is>
      </c>
      <c r="G20" s="2" t="inlineStr">
        <is>
          <t>1 por cuba</t>
        </is>
      </c>
      <c r="H20" s="3" t="n"/>
      <c r="I20" s="2">
        <f>IF(AND(ISNUMBER(G20),ISNUMBER(H20)),G20*H20,"")</f>
        <v/>
      </c>
      <c r="J20" s="2" t="inlineStr"/>
    </row>
    <row r="21">
      <c r="A21" s="2" t="inlineStr">
        <is>
          <t>Banheiro Casal</t>
        </is>
      </c>
      <c r="B21" s="2" t="inlineStr">
        <is>
          <t>Lavatório</t>
        </is>
      </c>
      <c r="C21" s="2" t="inlineStr">
        <is>
          <t>Válvula de escoamento tipo click para lavatório</t>
        </is>
      </c>
      <c r="D21" s="2" t="inlineStr">
        <is>
          <t>Deca</t>
        </is>
      </c>
      <c r="E21" s="2" t="inlineStr">
        <is>
          <t>1601.C.CLI</t>
        </is>
      </c>
      <c r="F21" s="2" t="inlineStr">
        <is>
          <t>Cromado</t>
        </is>
      </c>
      <c r="G21" s="2" t="inlineStr">
        <is>
          <t>1 por cuba</t>
        </is>
      </c>
      <c r="H21" s="3" t="n"/>
      <c r="I21" s="2">
        <f>IF(AND(ISNUMBER(G21),ISNUMBER(H21)),G21*H21,"")</f>
        <v/>
      </c>
      <c r="J21" s="2" t="inlineStr"/>
    </row>
    <row r="22">
      <c r="A22" s="2" t="inlineStr">
        <is>
          <t>Banheiro Casal</t>
        </is>
      </c>
      <c r="B22" s="2" t="inlineStr">
        <is>
          <t>Lavatório</t>
        </is>
      </c>
      <c r="C22" s="2" t="inlineStr">
        <is>
          <t>Engate flexível com malha de aço inox trançado</t>
        </is>
      </c>
      <c r="D22" s="2" t="inlineStr">
        <is>
          <t>Deca</t>
        </is>
      </c>
      <c r="E22" s="2" t="inlineStr">
        <is>
          <t>4607.C.030 ou 4607.C.040</t>
        </is>
      </c>
      <c r="F22" s="2" t="inlineStr">
        <is>
          <t>Cromado</t>
        </is>
      </c>
      <c r="G22" s="2" t="inlineStr">
        <is>
          <t>1 por cuba</t>
        </is>
      </c>
      <c r="H22" s="3" t="n"/>
      <c r="I22" s="2">
        <f>IF(AND(ISNUMBER(G22),ISNUMBER(H22)),G22*H22,"")</f>
        <v/>
      </c>
      <c r="J22" s="2" t="inlineStr">
        <is>
          <t>Comprimento (30 ou 40 cm) a definir em obra.</t>
        </is>
      </c>
    </row>
    <row r="23">
      <c r="A23" s="2" t="inlineStr">
        <is>
          <t>Banheiro Casal</t>
        </is>
      </c>
      <c r="B23" s="2" t="inlineStr">
        <is>
          <t>Acessórios</t>
        </is>
      </c>
      <c r="C23" s="2" t="inlineStr">
        <is>
          <t>Porta-toalha barra dupla 60 cm</t>
        </is>
      </c>
      <c r="D23" s="2" t="inlineStr">
        <is>
          <t>Deca / You</t>
        </is>
      </c>
      <c r="E23" s="2" t="inlineStr">
        <is>
          <t>2042.C104.060</t>
        </is>
      </c>
      <c r="F23" s="2" t="inlineStr">
        <is>
          <t>Cromado</t>
        </is>
      </c>
      <c r="G23" s="2" t="n">
        <v>1</v>
      </c>
      <c r="H23" s="3" t="n"/>
      <c r="I23" s="2">
        <f>IF(AND(ISNUMBER(G23),ISNUMBER(H23)),G23*H23,"")</f>
        <v/>
      </c>
      <c r="J23" s="2" t="inlineStr"/>
    </row>
    <row r="24">
      <c r="A24" s="2" t="inlineStr">
        <is>
          <t>Banheiro Casal</t>
        </is>
      </c>
      <c r="B24" s="2" t="inlineStr">
        <is>
          <t>Acessórios</t>
        </is>
      </c>
      <c r="C24" s="2" t="inlineStr">
        <is>
          <t>Porta-toalha de rosto / cabide</t>
        </is>
      </c>
      <c r="D24" s="2" t="inlineStr">
        <is>
          <t>Deca / You</t>
        </is>
      </c>
      <c r="E24" s="2" t="inlineStr">
        <is>
          <t>—</t>
        </is>
      </c>
      <c r="F24" s="2" t="inlineStr">
        <is>
          <t>Cromado</t>
        </is>
      </c>
      <c r="G24" s="2" t="n">
        <v>1</v>
      </c>
      <c r="H24" s="3" t="n"/>
      <c r="I24" s="2">
        <f>IF(AND(ISNUMBER(G24),ISNUMBER(H24)),G24*H24,"")</f>
        <v/>
      </c>
      <c r="J24" s="2" t="inlineStr"/>
    </row>
    <row r="25">
      <c r="A25" s="2" t="inlineStr">
        <is>
          <t>Banheiro Casal</t>
        </is>
      </c>
      <c r="B25" s="2" t="inlineStr">
        <is>
          <t>Acessórios</t>
        </is>
      </c>
      <c r="C25" s="2" t="inlineStr">
        <is>
          <t>Papeleira</t>
        </is>
      </c>
      <c r="D25" s="2" t="inlineStr">
        <is>
          <t>Deca / You</t>
        </is>
      </c>
      <c r="E25" s="2" t="inlineStr">
        <is>
          <t>—</t>
        </is>
      </c>
      <c r="F25" s="2" t="inlineStr">
        <is>
          <t>Cromado</t>
        </is>
      </c>
      <c r="G25" s="2" t="n">
        <v>1</v>
      </c>
      <c r="H25" s="3" t="n"/>
      <c r="I25" s="2">
        <f>IF(AND(ISNUMBER(G25),ISNUMBER(H25)),G25*H25,"")</f>
        <v/>
      </c>
      <c r="J25" s="2" t="inlineStr"/>
    </row>
    <row r="26">
      <c r="A26" s="2" t="inlineStr">
        <is>
          <t>Banheiro Externo</t>
        </is>
      </c>
      <c r="B26" s="2" t="inlineStr">
        <is>
          <t>Chuveiro</t>
        </is>
      </c>
      <c r="C26" s="2" t="inlineStr">
        <is>
          <t>Kit chuveiro de parede com desviador e ducha manual</t>
        </is>
      </c>
      <c r="D26" s="2" t="inlineStr">
        <is>
          <t>Deca / Acqua Plus</t>
        </is>
      </c>
      <c r="E26" s="2" t="inlineStr">
        <is>
          <t>—</t>
        </is>
      </c>
      <c r="F26" s="2" t="inlineStr">
        <is>
          <t>Cromado</t>
        </is>
      </c>
      <c r="G26" s="2" t="n">
        <v>1</v>
      </c>
      <c r="H26" s="3" t="n"/>
      <c r="I26" s="2">
        <f>IF(AND(ISNUMBER(G26),ISNUMBER(H26)),G26*H26,"")</f>
        <v/>
      </c>
      <c r="J26" s="2" t="inlineStr"/>
    </row>
    <row r="27">
      <c r="A27" s="2" t="inlineStr">
        <is>
          <t>Banheiro Externo</t>
        </is>
      </c>
      <c r="B27" s="2" t="inlineStr">
        <is>
          <t>Chuveiro</t>
        </is>
      </c>
      <c r="C27" s="2" t="inlineStr">
        <is>
          <t>Acabamento de registro para misturador de duas alavancas (água quente e fria)</t>
        </is>
      </c>
      <c r="D27" s="2" t="inlineStr">
        <is>
          <t>Deca / Level</t>
        </is>
      </c>
      <c r="E27" s="2" t="inlineStr">
        <is>
          <t>4900.C26.GD</t>
        </is>
      </c>
      <c r="F27" s="2" t="inlineStr">
        <is>
          <t>Cromado</t>
        </is>
      </c>
      <c r="G27" s="2" t="n">
        <v>1</v>
      </c>
      <c r="H27" s="3" t="n"/>
      <c r="I27" s="2">
        <f>IF(AND(ISNUMBER(G27),ISNUMBER(H27)),G27*H27,"")</f>
        <v/>
      </c>
      <c r="J27" s="2" t="inlineStr">
        <is>
          <t>Compatível com o kit Acqua Plus.</t>
        </is>
      </c>
    </row>
    <row r="28">
      <c r="A28" s="2" t="inlineStr">
        <is>
          <t>Banheiro Externo</t>
        </is>
      </c>
      <c r="B28" s="2" t="inlineStr">
        <is>
          <t>Ducha higiênica</t>
        </is>
      </c>
      <c r="C28" s="2" t="inlineStr">
        <is>
          <t>Ducha higiênica com registro e derivação</t>
        </is>
      </c>
      <c r="D28" s="2" t="inlineStr">
        <is>
          <t>Deca / Level</t>
        </is>
      </c>
      <c r="E28" s="2" t="inlineStr">
        <is>
          <t>1984.C26.ACT</t>
        </is>
      </c>
      <c r="F28" s="2" t="inlineStr">
        <is>
          <t>Cromado</t>
        </is>
      </c>
      <c r="G28" s="2" t="n">
        <v>1</v>
      </c>
      <c r="H28" s="3" t="n"/>
      <c r="I28" s="2">
        <f>IF(AND(ISNUMBER(G28),ISNUMBER(H28)),G28*H28,"")</f>
        <v/>
      </c>
      <c r="J28" s="2" t="inlineStr"/>
    </row>
    <row r="29">
      <c r="A29" s="2" t="inlineStr">
        <is>
          <t>Banheiro Externo</t>
        </is>
      </c>
      <c r="B29" s="2" t="inlineStr">
        <is>
          <t>Bacia sanitária</t>
        </is>
      </c>
      <c r="C29" s="2" t="inlineStr">
        <is>
          <t>Bacia sanitária com caixa acoplada, acionamento por botão duplo</t>
        </is>
      </c>
      <c r="D29" s="2" t="inlineStr">
        <is>
          <t>Roca / ONA</t>
        </is>
      </c>
      <c r="E29" s="2" t="inlineStr">
        <is>
          <t>—</t>
        </is>
      </c>
      <c r="F29" s="2" t="inlineStr">
        <is>
          <t>Padrão do fabricante</t>
        </is>
      </c>
      <c r="G29" s="2" t="n">
        <v>1</v>
      </c>
      <c r="H29" s="3" t="n"/>
      <c r="I29" s="2">
        <f>IF(AND(ISNUMBER(G29),ISNUMBER(H29)),G29*H29,"")</f>
        <v/>
      </c>
      <c r="J29" s="2" t="inlineStr">
        <is>
          <t>Caixa acoplada: dispensa válvula de descarga; exige ponto de água fria na entrada da caixa.</t>
        </is>
      </c>
    </row>
    <row r="30">
      <c r="A30" s="2" t="inlineStr">
        <is>
          <t>Banheiro Externo</t>
        </is>
      </c>
      <c r="B30" s="2" t="inlineStr">
        <is>
          <t>Bacia sanitária</t>
        </is>
      </c>
      <c r="C30" s="2" t="inlineStr">
        <is>
          <t>Assento sanitário original da linha</t>
        </is>
      </c>
      <c r="D30" s="2" t="inlineStr">
        <is>
          <t>Roca / ONA</t>
        </is>
      </c>
      <c r="E30" s="2" t="inlineStr">
        <is>
          <t>—</t>
        </is>
      </c>
      <c r="F30" s="2" t="inlineStr">
        <is>
          <t>Padrão do fabricante</t>
        </is>
      </c>
      <c r="G30" s="2" t="n">
        <v>1</v>
      </c>
      <c r="H30" s="3" t="n"/>
      <c r="I30" s="2">
        <f>IF(AND(ISNUMBER(G30),ISNUMBER(H30)),G30*H30,"")</f>
        <v/>
      </c>
      <c r="J30" s="2" t="inlineStr"/>
    </row>
    <row r="31">
      <c r="A31" s="2" t="inlineStr">
        <is>
          <t>Banheiro Externo</t>
        </is>
      </c>
      <c r="B31" s="2" t="inlineStr">
        <is>
          <t>Lavatório</t>
        </is>
      </c>
      <c r="C31" s="2" t="inlineStr">
        <is>
          <t>Cuba de apoio/sobrepor retangular, cerâmica</t>
        </is>
      </c>
      <c r="D31" s="2" t="inlineStr">
        <is>
          <t>Deca / Slim</t>
        </is>
      </c>
      <c r="E31" s="2" t="inlineStr">
        <is>
          <t>—</t>
        </is>
      </c>
      <c r="F31" s="2" t="inlineStr">
        <is>
          <t>Verde fosco</t>
        </is>
      </c>
      <c r="G31" s="2" t="n">
        <v>1</v>
      </c>
      <c r="H31" s="3" t="n"/>
      <c r="I31" s="2">
        <f>IF(AND(ISNUMBER(G31),ISNUMBER(H31)),G31*H31,"")</f>
        <v/>
      </c>
      <c r="J31" s="2" t="inlineStr">
        <is>
          <t>Exige torneira de bica alta. Confirmar a cor verde fosco com a loja (foto em branco, representativa).</t>
        </is>
      </c>
    </row>
    <row r="32">
      <c r="A32" s="2" t="inlineStr">
        <is>
          <t>Banheiro Externo</t>
        </is>
      </c>
      <c r="B32" s="2" t="inlineStr">
        <is>
          <t>Lavatório</t>
        </is>
      </c>
      <c r="C32" s="2" t="inlineStr">
        <is>
          <t>Torneira de mesa bica alta para lavatório</t>
        </is>
      </c>
      <c r="D32" s="2" t="inlineStr">
        <is>
          <t>Deca / Tube</t>
        </is>
      </c>
      <c r="E32" s="2" t="inlineStr">
        <is>
          <t>1198.GF.TUB.MT</t>
        </is>
      </c>
      <c r="F32" s="2" t="inlineStr">
        <is>
          <t>Dark Antracite (fosco)</t>
        </is>
      </c>
      <c r="G32" s="2" t="n">
        <v>1</v>
      </c>
      <c r="H32" s="3" t="n"/>
      <c r="I32" s="2">
        <f>IF(AND(ISNUMBER(G32),ISNUMBER(H32)),G32*H32,"")</f>
        <v/>
      </c>
      <c r="J32" s="2" t="inlineStr">
        <is>
          <t>Única peça neste acabamento. Confirmar se o código 1198 (bica alta) está disponível; foto da 1197 (bica baixa).</t>
        </is>
      </c>
    </row>
    <row r="33">
      <c r="A33" s="2" t="inlineStr">
        <is>
          <t>Banheiro Externo</t>
        </is>
      </c>
      <c r="B33" s="2" t="inlineStr">
        <is>
          <t>Lavatório</t>
        </is>
      </c>
      <c r="C33" s="2" t="inlineStr">
        <is>
          <t>Válvula de escoamento tipo click para lavatório</t>
        </is>
      </c>
      <c r="D33" s="2" t="inlineStr">
        <is>
          <t>Deca</t>
        </is>
      </c>
      <c r="E33" s="2" t="inlineStr">
        <is>
          <t>1601.C.CLI</t>
        </is>
      </c>
      <c r="F33" s="2" t="inlineStr">
        <is>
          <t>Cromado</t>
        </is>
      </c>
      <c r="G33" s="2" t="n">
        <v>1</v>
      </c>
      <c r="H33" s="3" t="n"/>
      <c r="I33" s="2">
        <f>IF(AND(ISNUMBER(G33),ISNUMBER(H33)),G33*H33,"")</f>
        <v/>
      </c>
      <c r="J33" s="2" t="inlineStr">
        <is>
          <t>Não fabricada em Dark Antracite; mantido cromado (decisão do cliente).</t>
        </is>
      </c>
    </row>
    <row r="34">
      <c r="A34" s="2" t="inlineStr">
        <is>
          <t>Banheiro Externo</t>
        </is>
      </c>
      <c r="B34" s="2" t="inlineStr">
        <is>
          <t>Lavatório</t>
        </is>
      </c>
      <c r="C34" s="2" t="inlineStr">
        <is>
          <t>Engate flexível com malha de aço inox trançado</t>
        </is>
      </c>
      <c r="D34" s="2" t="inlineStr">
        <is>
          <t>Deca</t>
        </is>
      </c>
      <c r="E34" s="2" t="inlineStr">
        <is>
          <t>4607.C.030 ou 4607.C.040</t>
        </is>
      </c>
      <c r="F34" s="2" t="inlineStr">
        <is>
          <t>Cromado</t>
        </is>
      </c>
      <c r="G34" s="2" t="n">
        <v>1</v>
      </c>
      <c r="H34" s="3" t="n"/>
      <c r="I34" s="2">
        <f>IF(AND(ISNUMBER(G34),ISNUMBER(H34)),G34*H34,"")</f>
        <v/>
      </c>
      <c r="J34" s="2" t="inlineStr">
        <is>
          <t>Comprimento (30 ou 40 cm) a definir em obra.</t>
        </is>
      </c>
    </row>
    <row r="35">
      <c r="A35" s="2" t="inlineStr">
        <is>
          <t>Banheiro Externo</t>
        </is>
      </c>
      <c r="B35" s="2" t="inlineStr">
        <is>
          <t>Acessórios</t>
        </is>
      </c>
      <c r="C35" s="2" t="inlineStr">
        <is>
          <t>Porta-toalha barra simples</t>
        </is>
      </c>
      <c r="D35" s="2" t="inlineStr">
        <is>
          <t>Deca / You</t>
        </is>
      </c>
      <c r="E35" s="2" t="inlineStr">
        <is>
          <t>—</t>
        </is>
      </c>
      <c r="F35" s="2" t="inlineStr">
        <is>
          <t>Cromado</t>
        </is>
      </c>
      <c r="G35" s="2" t="n">
        <v>1</v>
      </c>
      <c r="H35" s="3" t="n"/>
      <c r="I35" s="2">
        <f>IF(AND(ISNUMBER(G35),ISNUMBER(H35)),G35*H35,"")</f>
        <v/>
      </c>
      <c r="J35" s="2" t="inlineStr"/>
    </row>
    <row r="36">
      <c r="A36" s="2" t="inlineStr">
        <is>
          <t>Banheiro Externo</t>
        </is>
      </c>
      <c r="B36" s="2" t="inlineStr">
        <is>
          <t>Acessórios</t>
        </is>
      </c>
      <c r="C36" s="2" t="inlineStr">
        <is>
          <t>Porta-toalha de rosto / cabide</t>
        </is>
      </c>
      <c r="D36" s="2" t="inlineStr">
        <is>
          <t>Deca / You</t>
        </is>
      </c>
      <c r="E36" s="2" t="inlineStr">
        <is>
          <t>—</t>
        </is>
      </c>
      <c r="F36" s="2" t="inlineStr">
        <is>
          <t>Cromado</t>
        </is>
      </c>
      <c r="G36" s="2" t="n">
        <v>1</v>
      </c>
      <c r="H36" s="3" t="n"/>
      <c r="I36" s="2">
        <f>IF(AND(ISNUMBER(G36),ISNUMBER(H36)),G36*H36,"")</f>
        <v/>
      </c>
      <c r="J36" s="2" t="inlineStr"/>
    </row>
    <row r="37">
      <c r="A37" s="2" t="inlineStr">
        <is>
          <t>Banheiro Externo</t>
        </is>
      </c>
      <c r="B37" s="2" t="inlineStr">
        <is>
          <t>Acessórios</t>
        </is>
      </c>
      <c r="C37" s="2" t="inlineStr">
        <is>
          <t>Papeleira</t>
        </is>
      </c>
      <c r="D37" s="2" t="inlineStr">
        <is>
          <t>Deca / You</t>
        </is>
      </c>
      <c r="E37" s="2" t="inlineStr">
        <is>
          <t>—</t>
        </is>
      </c>
      <c r="F37" s="2" t="inlineStr">
        <is>
          <t>Cromado</t>
        </is>
      </c>
      <c r="G37" s="2" t="n">
        <v>1</v>
      </c>
      <c r="H37" s="3" t="n"/>
      <c r="I37" s="2">
        <f>IF(AND(ISNUMBER(G37),ISNUMBER(H37)),G37*H37,"")</f>
        <v/>
      </c>
      <c r="J37" s="2" t="inlineStr"/>
    </row>
    <row r="38">
      <c r="A38" s="2" t="inlineStr">
        <is>
          <t>Cozinha</t>
        </is>
      </c>
      <c r="B38" s="2" t="inlineStr">
        <is>
          <t>Cuba</t>
        </is>
      </c>
      <c r="C38" s="2" t="inlineStr">
        <is>
          <t>Cuba de embutir retangular 75×40 cm, aço inox</t>
        </is>
      </c>
      <c r="D38" s="2" t="inlineStr">
        <is>
          <t>Deca / Suprema</t>
        </is>
      </c>
      <c r="E38" s="2" t="inlineStr">
        <is>
          <t>CC67075INX</t>
        </is>
      </c>
      <c r="F38" s="2" t="inlineStr">
        <is>
          <t>Inox</t>
        </is>
      </c>
      <c r="G38" s="2" t="n">
        <v>1</v>
      </c>
      <c r="H38" s="3" t="n"/>
      <c r="I38" s="2">
        <f>IF(AND(ISNUMBER(G38),ISNUMBER(H38)),G38*H38,"")</f>
        <v/>
      </c>
      <c r="J38" s="2" t="inlineStr"/>
    </row>
    <row r="39">
      <c r="A39" s="2" t="inlineStr">
        <is>
          <t>Cozinha</t>
        </is>
      </c>
      <c r="B39" s="2" t="inlineStr">
        <is>
          <t>Torneira</t>
        </is>
      </c>
      <c r="C39" s="2" t="inlineStr">
        <is>
          <t>Misturador monocomando de mesa para cozinha</t>
        </is>
      </c>
      <c r="D39" s="2" t="inlineStr">
        <is>
          <t>Deca</t>
        </is>
      </c>
      <c r="E39" s="2" t="inlineStr">
        <is>
          <t>2275.INX</t>
        </is>
      </c>
      <c r="F39" s="2" t="inlineStr">
        <is>
          <t>Inox</t>
        </is>
      </c>
      <c r="G39" s="2" t="n">
        <v>1</v>
      </c>
      <c r="H39" s="3" t="n"/>
      <c r="I39" s="2">
        <f>IF(AND(ISNUMBER(G39),ISNUMBER(H39)),G39*H39,"")</f>
        <v/>
      </c>
      <c r="J39" s="2" t="inlineStr"/>
    </row>
    <row r="40">
      <c r="A40" s="2" t="inlineStr">
        <is>
          <t>Cozinha</t>
        </is>
      </c>
      <c r="B40" s="2" t="inlineStr">
        <is>
          <t>Registro</t>
        </is>
      </c>
      <c r="C40" s="2" t="inlineStr">
        <is>
          <t>Registro de gaveta até 1", acabamento quadrado</t>
        </is>
      </c>
      <c r="D40" s="2" t="inlineStr">
        <is>
          <t>Deca</t>
        </is>
      </c>
      <c r="E40" s="2" t="inlineStr">
        <is>
          <t>4900.INX105.PQ</t>
        </is>
      </c>
      <c r="F40" s="2" t="inlineStr">
        <is>
          <t>Inox</t>
        </is>
      </c>
      <c r="G40" s="2" t="n">
        <v>1</v>
      </c>
      <c r="H40" s="3" t="n"/>
      <c r="I40" s="2">
        <f>IF(AND(ISNUMBER(G40),ISNUMBER(H40)),G40*H40,"")</f>
        <v/>
      </c>
      <c r="J40" s="2" t="inlineStr">
        <is>
          <t>Instalado sob a bancada.</t>
        </is>
      </c>
    </row>
    <row r="41">
      <c r="A41" s="2" t="inlineStr">
        <is>
          <t>Cozinha</t>
        </is>
      </c>
      <c r="B41" s="2" t="inlineStr">
        <is>
          <t>Sifão/engates</t>
        </is>
      </c>
      <c r="C41" s="2" t="inlineStr">
        <is>
          <t>Kit sifão articulado 1½" + engates flexíveis para cuba de cozinha</t>
        </is>
      </c>
      <c r="D41" s="2" t="inlineStr">
        <is>
          <t>Deca</t>
        </is>
      </c>
      <c r="E41" s="2" t="inlineStr">
        <is>
          <t>1682.C.112 (referência)</t>
        </is>
      </c>
      <c r="F41" s="2" t="inlineStr">
        <is>
          <t>Cromado ou inox</t>
        </is>
      </c>
      <c r="G41" s="2" t="n">
        <v>1</v>
      </c>
      <c r="H41" s="3" t="n"/>
      <c r="I41" s="2">
        <f>IF(AND(ISNUMBER(G41),ISNUMBER(H41)),G41*H41,"")</f>
        <v/>
      </c>
      <c r="J41" s="2" t="inlineStr">
        <is>
          <t>Referência exata compatível com CC67075INX (e versão inox) a confirmar com a loja.</t>
        </is>
      </c>
    </row>
    <row r="42">
      <c r="A42" s="2" t="inlineStr">
        <is>
          <t>Cozinha</t>
        </is>
      </c>
      <c r="B42" s="2" t="inlineStr">
        <is>
          <t>Filtro</t>
        </is>
      </c>
      <c r="C42" s="2" t="inlineStr">
        <is>
          <t>Filtro/purificador de água com retenção de metais pesados</t>
        </is>
      </c>
      <c r="D42" s="2" t="inlineStr">
        <is>
          <t>Purific / Camadas 10</t>
        </is>
      </c>
      <c r="E42" s="2" t="inlineStr">
        <is>
          <t>—</t>
        </is>
      </c>
      <c r="F42" s="2" t="inlineStr">
        <is>
          <t>Torneira: escolher cor</t>
        </is>
      </c>
      <c r="G42" s="2" t="n">
        <v>1</v>
      </c>
      <c r="H42" s="3" t="n"/>
      <c r="I42" s="2">
        <f>IF(AND(ISNUMBER(G42),ISNUMBER(H42)),G42*H42,"")</f>
        <v/>
      </c>
      <c r="J42" s="2" t="inlineStr">
        <is>
          <t>Acompanha torneira própria. Ponto de água a 1,00 m. Verificar se a Bandini revende.</t>
        </is>
      </c>
    </row>
    <row r="43">
      <c r="A43" s="2" t="inlineStr">
        <is>
          <t>Varanda Gourmet</t>
        </is>
      </c>
      <c r="B43" s="2" t="inlineStr">
        <is>
          <t>Cuba</t>
        </is>
      </c>
      <c r="C43" s="2" t="inlineStr">
        <is>
          <t>Cuba de embutir retangular 50×40 cm, aço inox</t>
        </is>
      </c>
      <c r="D43" s="2" t="inlineStr">
        <is>
          <t>Deca / Suprema</t>
        </is>
      </c>
      <c r="E43" s="2" t="inlineStr">
        <is>
          <t>CC66050INX</t>
        </is>
      </c>
      <c r="F43" s="2" t="inlineStr">
        <is>
          <t>Inox</t>
        </is>
      </c>
      <c r="G43" s="2" t="n">
        <v>1</v>
      </c>
      <c r="H43" s="3" t="n"/>
      <c r="I43" s="2">
        <f>IF(AND(ISNUMBER(G43),ISNUMBER(H43)),G43*H43,"")</f>
        <v/>
      </c>
      <c r="J43" s="2" t="inlineStr"/>
    </row>
    <row r="44">
      <c r="A44" s="2" t="inlineStr">
        <is>
          <t>Varanda Gourmet</t>
        </is>
      </c>
      <c r="B44" s="2" t="inlineStr">
        <is>
          <t>Torneira</t>
        </is>
      </c>
      <c r="C44" s="2" t="inlineStr">
        <is>
          <t>Torneira de mesa bica móvel</t>
        </is>
      </c>
      <c r="D44" s="2" t="inlineStr">
        <is>
          <t>Deca / Flex Plus</t>
        </is>
      </c>
      <c r="E44" s="2" t="inlineStr">
        <is>
          <t>1167.C21</t>
        </is>
      </c>
      <c r="F44" s="2" t="inlineStr">
        <is>
          <t>Cromado</t>
        </is>
      </c>
      <c r="G44" s="2" t="n">
        <v>1</v>
      </c>
      <c r="H44" s="3" t="n"/>
      <c r="I44" s="2">
        <f>IF(AND(ISNUMBER(G44),ISNUMBER(H44)),G44*H44,"")</f>
        <v/>
      </c>
      <c r="J44" s="2" t="inlineStr"/>
    </row>
    <row r="45">
      <c r="A45" s="2" t="inlineStr">
        <is>
          <t>Varanda Gourmet</t>
        </is>
      </c>
      <c r="B45" s="2" t="inlineStr">
        <is>
          <t>Registro</t>
        </is>
      </c>
      <c r="C45" s="2" t="inlineStr">
        <is>
          <t>Registro de gaveta, acabamento</t>
        </is>
      </c>
      <c r="D45" s="2" t="inlineStr">
        <is>
          <t>Deca / Level</t>
        </is>
      </c>
      <c r="E45" s="2" t="inlineStr">
        <is>
          <t>4900.C26.GD</t>
        </is>
      </c>
      <c r="F45" s="2" t="inlineStr">
        <is>
          <t>Cromado</t>
        </is>
      </c>
      <c r="G45" s="2" t="n">
        <v>1</v>
      </c>
      <c r="H45" s="3" t="n"/>
      <c r="I45" s="2">
        <f>IF(AND(ISNUMBER(G45),ISNUMBER(H45)),G45*H45,"")</f>
        <v/>
      </c>
      <c r="J45" s="2" t="inlineStr">
        <is>
          <t>Mesmo acabamento do restante da casa.</t>
        </is>
      </c>
    </row>
    <row r="46">
      <c r="A46" s="2" t="inlineStr">
        <is>
          <t>Varanda Gourmet</t>
        </is>
      </c>
      <c r="B46" s="2" t="inlineStr">
        <is>
          <t>Sifão/engates</t>
        </is>
      </c>
      <c r="C46" s="2" t="inlineStr">
        <is>
          <t>Kit sifão articulado 1½" + engates flexíveis para cuba de cozinha</t>
        </is>
      </c>
      <c r="D46" s="2" t="inlineStr">
        <is>
          <t>Deca</t>
        </is>
      </c>
      <c r="E46" s="2" t="inlineStr">
        <is>
          <t>1682.C.112 (referência)</t>
        </is>
      </c>
      <c r="F46" s="2" t="inlineStr">
        <is>
          <t>Cromado ou inox</t>
        </is>
      </c>
      <c r="G46" s="2" t="n">
        <v>1</v>
      </c>
      <c r="H46" s="3" t="n"/>
      <c r="I46" s="2">
        <f>IF(AND(ISNUMBER(G46),ISNUMBER(H46)),G46*H46,"")</f>
        <v/>
      </c>
      <c r="J46" s="2" t="inlineStr">
        <is>
          <t>Referência exata compatível com CC66050INX a confirmar com a loja.</t>
        </is>
      </c>
    </row>
    <row r="47">
      <c r="A47" s="2" t="inlineStr">
        <is>
          <t>Lavanderia</t>
        </is>
      </c>
      <c r="B47" s="2" t="inlineStr">
        <is>
          <t>Tanque</t>
        </is>
      </c>
      <c r="C47" s="2" t="inlineStr">
        <is>
          <t>Tanque moldado 60×57 cm, 39 L, marmorizado sintético</t>
        </is>
      </c>
      <c r="D47" s="2" t="inlineStr">
        <is>
          <t>I.Corso / Premium</t>
        </is>
      </c>
      <c r="E47" s="2" t="inlineStr">
        <is>
          <t>—</t>
        </is>
      </c>
      <c r="F47" s="2" t="inlineStr">
        <is>
          <t>Branco</t>
        </is>
      </c>
      <c r="G47" s="2" t="n">
        <v>1</v>
      </c>
      <c r="H47" s="3" t="n"/>
      <c r="I47" s="2">
        <f>IF(AND(ISNUMBER(G47),ISNUMBER(H47)),G47*H47,"")</f>
        <v/>
      </c>
      <c r="J47" s="2" t="inlineStr">
        <is>
          <t>Verificar se a Bandini revende.</t>
        </is>
      </c>
    </row>
    <row r="48">
      <c r="A48" s="2" t="inlineStr">
        <is>
          <t>Lavanderia</t>
        </is>
      </c>
      <c r="B48" s="2" t="inlineStr">
        <is>
          <t>Torneira</t>
        </is>
      </c>
      <c r="C48" s="2" t="inlineStr">
        <is>
          <t>Torneira de parede bica longa para tanque</t>
        </is>
      </c>
      <c r="D48" s="2" t="inlineStr">
        <is>
          <t>Deca / Link</t>
        </is>
      </c>
      <c r="E48" s="2" t="inlineStr">
        <is>
          <t>1178.C.LNK</t>
        </is>
      </c>
      <c r="F48" s="2" t="inlineStr">
        <is>
          <t>Cromado</t>
        </is>
      </c>
      <c r="G48" s="2" t="n">
        <v>1</v>
      </c>
      <c r="H48" s="3" t="n"/>
      <c r="I48" s="2">
        <f>IF(AND(ISNUMBER(G48),ISNUMBER(H48)),G48*H48,"")</f>
        <v/>
      </c>
      <c r="J48" s="2" t="inlineStr"/>
    </row>
    <row r="49">
      <c r="A49" s="2" t="inlineStr">
        <is>
          <t>Lavanderia</t>
        </is>
      </c>
      <c r="B49" s="2" t="inlineStr">
        <is>
          <t>Varal</t>
        </is>
      </c>
      <c r="C49" s="2" t="inlineStr">
        <is>
          <t>Varal de parede dobrável tipo sanfona, 7 varetas, 120 cm</t>
        </is>
      </c>
      <c r="D49" s="2" t="inlineStr">
        <is>
          <t>Varal Mágico</t>
        </is>
      </c>
      <c r="E49" s="2" t="inlineStr">
        <is>
          <t>—</t>
        </is>
      </c>
      <c r="F49" s="2" t="inlineStr">
        <is>
          <t>Alumínio branco</t>
        </is>
      </c>
      <c r="G49" s="2" t="n">
        <v>1</v>
      </c>
      <c r="H49" s="3" t="n"/>
      <c r="I49" s="2">
        <f>IF(AND(ISNUMBER(G49),ISNUMBER(H49)),G49*H49,"")</f>
        <v/>
      </c>
      <c r="J49" s="2" t="inlineStr">
        <is>
          <t>Fixação em parede com estrutura para o peso. Verificar se a Bandini revende.</t>
        </is>
      </c>
    </row>
    <row r="50">
      <c r="A50" s="2" t="inlineStr">
        <is>
          <t>Área externa / piscina</t>
        </is>
      </c>
      <c r="B50" s="2" t="inlineStr">
        <is>
          <t>Ducha externa</t>
        </is>
      </c>
      <c r="C50" s="2" t="inlineStr">
        <is>
          <t>Kit chuveirão de parede/piscina com acabamento de registro, só água fria</t>
        </is>
      </c>
      <c r="D50" s="2" t="inlineStr">
        <is>
          <t>Deca</t>
        </is>
      </c>
      <c r="E50" s="2" t="inlineStr">
        <is>
          <t>A CONFIRMAR</t>
        </is>
      </c>
      <c r="F50" s="2" t="inlineStr">
        <is>
          <t>Cromado</t>
        </is>
      </c>
      <c r="G50" s="2" t="n">
        <v>1</v>
      </c>
      <c r="H50" s="3" t="n"/>
      <c r="I50" s="2">
        <f>IF(AND(ISNUMBER(G50),ISNUMBER(H50)),G50*H50,"")</f>
        <v/>
      </c>
      <c r="J50" s="2" t="inlineStr">
        <is>
          <t>Referência exata do kit completo a fechar com a loja.</t>
        </is>
      </c>
    </row>
    <row r="51">
      <c r="A51" s="2" t="inlineStr">
        <is>
          <t>Área externa / piscina</t>
        </is>
      </c>
      <c r="B51" s="2" t="inlineStr">
        <is>
          <t>Torneira de jardim</t>
        </is>
      </c>
      <c r="C51" s="2" t="inlineStr">
        <is>
          <t>Torneira para jardim e tanque com adaptador para mangueira</t>
        </is>
      </c>
      <c r="D51" s="2" t="inlineStr">
        <is>
          <t>Deca / Izy</t>
        </is>
      </c>
      <c r="E51" s="2" t="inlineStr">
        <is>
          <t>1153.C37</t>
        </is>
      </c>
      <c r="F51" s="2" t="inlineStr">
        <is>
          <t>Cromado</t>
        </is>
      </c>
      <c r="G51" s="2" t="n">
        <v>1</v>
      </c>
      <c r="H51" s="3" t="n"/>
      <c r="I51" s="2">
        <f>IF(AND(ISNUMBER(G51),ISNUMBER(H51)),G51*H51,"")</f>
        <v/>
      </c>
      <c r="J51" s="2" t="inlineStr"/>
    </row>
    <row r="52">
      <c r="A52" s="2" t="inlineStr"/>
      <c r="B52" s="2" t="inlineStr">
        <is>
          <t>TOTAL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>
        <f>SUM(I2:I51)</f>
        <v/>
      </c>
      <c r="J5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8" customWidth="1" min="3" max="3"/>
    <col width="18" customWidth="1" min="4" max="4"/>
    <col width="11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Referência</t>
        </is>
      </c>
      <c r="B1" s="1" t="inlineStr">
        <is>
          <t>Descrição</t>
        </is>
      </c>
      <c r="C1" s="1" t="inlineStr">
        <is>
          <t>Marca/linha</t>
        </is>
      </c>
      <c r="D1" s="1" t="inlineStr">
        <is>
          <t>Cor/acabamento</t>
        </is>
      </c>
      <c r="E1" s="1" t="inlineStr">
        <is>
          <t>Qtd. total</t>
        </is>
      </c>
      <c r="F1" s="1" t="inlineStr">
        <is>
          <t>Ambientes</t>
        </is>
      </c>
      <c r="G1" s="1" t="inlineStr">
        <is>
          <t>Preço unit. (R$)</t>
        </is>
      </c>
      <c r="H1" s="1" t="inlineStr">
        <is>
          <t>Total (R$)</t>
        </is>
      </c>
    </row>
    <row r="2">
      <c r="A2" s="2" t="inlineStr">
        <is>
          <t>—</t>
        </is>
      </c>
      <c r="B2" s="2" t="inlineStr">
        <is>
          <t>Kit chuveiro de parede com desviador e ducha manual</t>
        </is>
      </c>
      <c r="C2" s="2" t="inlineStr">
        <is>
          <t>Deca / Acqua Plus</t>
        </is>
      </c>
      <c r="D2" s="2" t="inlineStr">
        <is>
          <t>Cromado</t>
        </is>
      </c>
      <c r="E2" s="2" t="n">
        <v>4</v>
      </c>
      <c r="F2" s="2" t="inlineStr">
        <is>
          <t>WC 01 e WC 02, Banheiro Casal, Banheiro Externo</t>
        </is>
      </c>
      <c r="G2" s="3" t="n"/>
      <c r="H2" s="2">
        <f>IF(AND(ISNUMBER(E2),ISNUMBER(G2)),E2*G2,"")</f>
        <v/>
      </c>
    </row>
    <row r="3">
      <c r="A3" s="2" t="inlineStr">
        <is>
          <t>4900.C26.GD</t>
        </is>
      </c>
      <c r="B3" s="2" t="inlineStr">
        <is>
          <t>Acabamento de registro (chuveiros dos banheiros e registro da Varanda Gourmet)</t>
        </is>
      </c>
      <c r="C3" s="2" t="inlineStr">
        <is>
          <t>Deca / Level</t>
        </is>
      </c>
      <c r="D3" s="2" t="inlineStr">
        <is>
          <t>Cromado</t>
        </is>
      </c>
      <c r="E3" s="2" t="n">
        <v>5</v>
      </c>
      <c r="F3" s="2" t="inlineStr">
        <is>
          <t>WC 01 e WC 02, Banheiro Casal, Banheiro Externo, Varanda Gourmet</t>
        </is>
      </c>
      <c r="G3" s="3" t="n"/>
      <c r="H3" s="2">
        <f>IF(AND(ISNUMBER(E3),ISNUMBER(G3)),E3*G3,"")</f>
        <v/>
      </c>
    </row>
    <row r="4">
      <c r="A4" s="2" t="inlineStr">
        <is>
          <t>1984.C26.ACT</t>
        </is>
      </c>
      <c r="B4" s="2" t="inlineStr">
        <is>
          <t>Ducha higiênica com registro e derivação</t>
        </is>
      </c>
      <c r="C4" s="2" t="inlineStr">
        <is>
          <t>Deca / Level</t>
        </is>
      </c>
      <c r="D4" s="2" t="inlineStr">
        <is>
          <t>Cromado</t>
        </is>
      </c>
      <c r="E4" s="2" t="n">
        <v>4</v>
      </c>
      <c r="F4" s="2" t="inlineStr">
        <is>
          <t>WC 01 e WC 02, Banheiro Casal, Banheiro Externo</t>
        </is>
      </c>
      <c r="G4" s="3" t="n"/>
      <c r="H4" s="2">
        <f>IF(AND(ISNUMBER(E4),ISNUMBER(G4)),E4*G4,"")</f>
        <v/>
      </c>
    </row>
    <row r="5">
      <c r="A5" s="2" t="inlineStr">
        <is>
          <t>—</t>
        </is>
      </c>
      <c r="B5" s="2" t="inlineStr">
        <is>
          <t>Bacia sanitária com caixa acoplada, acionamento por botão duplo</t>
        </is>
      </c>
      <c r="C5" s="2" t="inlineStr">
        <is>
          <t>Roca / ONA</t>
        </is>
      </c>
      <c r="D5" s="2" t="inlineStr">
        <is>
          <t>Padrão do fabricante</t>
        </is>
      </c>
      <c r="E5" s="2" t="n">
        <v>4</v>
      </c>
      <c r="F5" s="2" t="inlineStr">
        <is>
          <t>WC 01 e WC 02, Banheiro Casal, Banheiro Externo</t>
        </is>
      </c>
      <c r="G5" s="3" t="n"/>
      <c r="H5" s="2">
        <f>IF(AND(ISNUMBER(E5),ISNUMBER(G5)),E5*G5,"")</f>
        <v/>
      </c>
    </row>
    <row r="6">
      <c r="A6" s="2" t="inlineStr">
        <is>
          <t>—</t>
        </is>
      </c>
      <c r="B6" s="2" t="inlineStr">
        <is>
          <t>Assento sanitário original da linha</t>
        </is>
      </c>
      <c r="C6" s="2" t="inlineStr">
        <is>
          <t>Roca / ONA</t>
        </is>
      </c>
      <c r="D6" s="2" t="inlineStr">
        <is>
          <t>Padrão do fabricante</t>
        </is>
      </c>
      <c r="E6" s="2" t="n">
        <v>4</v>
      </c>
      <c r="F6" s="2" t="inlineStr">
        <is>
          <t>WC 01 e WC 02, Banheiro Casal, Banheiro Externo</t>
        </is>
      </c>
      <c r="G6" s="3" t="n"/>
      <c r="H6" s="2">
        <f>IF(AND(ISNUMBER(E6),ISNUMBER(G6)),E6*G6,"")</f>
        <v/>
      </c>
    </row>
    <row r="7">
      <c r="A7" s="2" t="inlineStr">
        <is>
          <t>—</t>
        </is>
      </c>
      <c r="B7" s="2" t="inlineStr">
        <is>
          <t>Cuba de embutir retangular 50×40 cm, louça</t>
        </is>
      </c>
      <c r="C7" s="2" t="inlineStr">
        <is>
          <t>Deca</t>
        </is>
      </c>
      <c r="D7" s="2" t="inlineStr">
        <is>
          <t>Branca</t>
        </is>
      </c>
      <c r="E7" s="2" t="inlineStr">
        <is>
          <t>3 ou 4</t>
        </is>
      </c>
      <c r="F7" s="2" t="inlineStr">
        <is>
          <t>WC 01 e WC 02, Banheiro Casal</t>
        </is>
      </c>
      <c r="G7" s="3" t="n"/>
      <c r="H7" s="2">
        <f>IF(AND(ISNUMBER(E7),ISNUMBER(G7)),E7*G7,"")</f>
        <v/>
      </c>
    </row>
    <row r="8">
      <c r="A8" s="2" t="inlineStr">
        <is>
          <t>1193.C26</t>
        </is>
      </c>
      <c r="B8" s="2" t="inlineStr">
        <is>
          <t>Torneira de mesa para lavatório, bica baixa</t>
        </is>
      </c>
      <c r="C8" s="2" t="inlineStr">
        <is>
          <t>Deca / Level</t>
        </is>
      </c>
      <c r="D8" s="2" t="inlineStr">
        <is>
          <t>Cromado</t>
        </is>
      </c>
      <c r="E8" s="2" t="inlineStr">
        <is>
          <t>3 ou 4</t>
        </is>
      </c>
      <c r="F8" s="2" t="inlineStr">
        <is>
          <t>WC 01 e WC 02, Banheiro Casal</t>
        </is>
      </c>
      <c r="G8" s="3" t="n"/>
      <c r="H8" s="2">
        <f>IF(AND(ISNUMBER(E8),ISNUMBER(G8)),E8*G8,"")</f>
        <v/>
      </c>
    </row>
    <row r="9">
      <c r="A9" s="2" t="inlineStr">
        <is>
          <t>1601.C.CLI</t>
        </is>
      </c>
      <c r="B9" s="2" t="inlineStr">
        <is>
          <t>Válvula de escoamento tipo click para lavatório</t>
        </is>
      </c>
      <c r="C9" s="2" t="inlineStr">
        <is>
          <t>Deca</t>
        </is>
      </c>
      <c r="D9" s="2" t="inlineStr">
        <is>
          <t>Cromado</t>
        </is>
      </c>
      <c r="E9" s="2" t="inlineStr">
        <is>
          <t>4 ou 5</t>
        </is>
      </c>
      <c r="F9" s="2" t="inlineStr">
        <is>
          <t>WC 01 e WC 02, Banheiro Casal, Banheiro Externo</t>
        </is>
      </c>
      <c r="G9" s="3" t="n"/>
      <c r="H9" s="2">
        <f>IF(AND(ISNUMBER(E9),ISNUMBER(G9)),E9*G9,"")</f>
        <v/>
      </c>
    </row>
    <row r="10">
      <c r="A10" s="2" t="inlineStr">
        <is>
          <t>4607.C.030 ou 4607.C.040</t>
        </is>
      </c>
      <c r="B10" s="2" t="inlineStr">
        <is>
          <t>Engate flexível com malha de aço inox trançado</t>
        </is>
      </c>
      <c r="C10" s="2" t="inlineStr">
        <is>
          <t>Deca</t>
        </is>
      </c>
      <c r="D10" s="2" t="inlineStr">
        <is>
          <t>Cromado</t>
        </is>
      </c>
      <c r="E10" s="2" t="inlineStr">
        <is>
          <t>4 ou 5</t>
        </is>
      </c>
      <c r="F10" s="2" t="inlineStr">
        <is>
          <t>WC 01 e WC 02, Banheiro Casal, Banheiro Externo</t>
        </is>
      </c>
      <c r="G10" s="3" t="n"/>
      <c r="H10" s="2">
        <f>IF(AND(ISNUMBER(E10),ISNUMBER(G10)),E10*G10,"")</f>
        <v/>
      </c>
    </row>
    <row r="11">
      <c r="A11" s="2" t="inlineStr">
        <is>
          <t>—</t>
        </is>
      </c>
      <c r="B11" s="2" t="inlineStr">
        <is>
          <t>Porta-toalha barra simples</t>
        </is>
      </c>
      <c r="C11" s="2" t="inlineStr">
        <is>
          <t>Deca / You</t>
        </is>
      </c>
      <c r="D11" s="2" t="inlineStr">
        <is>
          <t>Cromado</t>
        </is>
      </c>
      <c r="E11" s="2" t="n">
        <v>3</v>
      </c>
      <c r="F11" s="2" t="inlineStr">
        <is>
          <t>WC 01 e WC 02, Banheiro Externo</t>
        </is>
      </c>
      <c r="G11" s="3" t="n"/>
      <c r="H11" s="2">
        <f>IF(AND(ISNUMBER(E11),ISNUMBER(G11)),E11*G11,"")</f>
        <v/>
      </c>
    </row>
    <row r="12">
      <c r="A12" s="2" t="inlineStr">
        <is>
          <t>—</t>
        </is>
      </c>
      <c r="B12" s="2" t="inlineStr">
        <is>
          <t>Porta-toalha de rosto / cabide</t>
        </is>
      </c>
      <c r="C12" s="2" t="inlineStr">
        <is>
          <t>Deca / You</t>
        </is>
      </c>
      <c r="D12" s="2" t="inlineStr">
        <is>
          <t>Cromado</t>
        </is>
      </c>
      <c r="E12" s="2" t="n">
        <v>4</v>
      </c>
      <c r="F12" s="2" t="inlineStr">
        <is>
          <t>WC 01 e WC 02, Banheiro Casal, Banheiro Externo</t>
        </is>
      </c>
      <c r="G12" s="3" t="n"/>
      <c r="H12" s="2">
        <f>IF(AND(ISNUMBER(E12),ISNUMBER(G12)),E12*G12,"")</f>
        <v/>
      </c>
    </row>
    <row r="13">
      <c r="A13" s="2" t="inlineStr">
        <is>
          <t>—</t>
        </is>
      </c>
      <c r="B13" s="2" t="inlineStr">
        <is>
          <t>Papeleira</t>
        </is>
      </c>
      <c r="C13" s="2" t="inlineStr">
        <is>
          <t>Deca / You</t>
        </is>
      </c>
      <c r="D13" s="2" t="inlineStr">
        <is>
          <t>Cromado</t>
        </is>
      </c>
      <c r="E13" s="2" t="n">
        <v>4</v>
      </c>
      <c r="F13" s="2" t="inlineStr">
        <is>
          <t>WC 01 e WC 02, Banheiro Casal, Banheiro Externo</t>
        </is>
      </c>
      <c r="G13" s="3" t="n"/>
      <c r="H13" s="2">
        <f>IF(AND(ISNUMBER(E13),ISNUMBER(G13)),E13*G13,"")</f>
        <v/>
      </c>
    </row>
    <row r="14">
      <c r="A14" s="2" t="inlineStr">
        <is>
          <t>2042.C104.060</t>
        </is>
      </c>
      <c r="B14" s="2" t="inlineStr">
        <is>
          <t>Porta-toalha barra dupla 60 cm</t>
        </is>
      </c>
      <c r="C14" s="2" t="inlineStr">
        <is>
          <t>Deca / You</t>
        </is>
      </c>
      <c r="D14" s="2" t="inlineStr">
        <is>
          <t>Cromado</t>
        </is>
      </c>
      <c r="E14" s="2" t="n">
        <v>1</v>
      </c>
      <c r="F14" s="2" t="inlineStr">
        <is>
          <t>Banheiro Casal</t>
        </is>
      </c>
      <c r="G14" s="3" t="n"/>
      <c r="H14" s="2">
        <f>IF(AND(ISNUMBER(E14),ISNUMBER(G14)),E14*G14,"")</f>
        <v/>
      </c>
    </row>
    <row r="15">
      <c r="A15" s="2" t="inlineStr">
        <is>
          <t>—</t>
        </is>
      </c>
      <c r="B15" s="2" t="inlineStr">
        <is>
          <t>Cuba de apoio/sobrepor retangular, cerâmica</t>
        </is>
      </c>
      <c r="C15" s="2" t="inlineStr">
        <is>
          <t>Deca / Slim</t>
        </is>
      </c>
      <c r="D15" s="2" t="inlineStr">
        <is>
          <t>Verde fosco</t>
        </is>
      </c>
      <c r="E15" s="2" t="n">
        <v>1</v>
      </c>
      <c r="F15" s="2" t="inlineStr">
        <is>
          <t>Banheiro Externo</t>
        </is>
      </c>
      <c r="G15" s="3" t="n"/>
      <c r="H15" s="2">
        <f>IF(AND(ISNUMBER(E15),ISNUMBER(G15)),E15*G15,"")</f>
        <v/>
      </c>
    </row>
    <row r="16">
      <c r="A16" s="2" t="inlineStr">
        <is>
          <t>1198.GF.TUB.MT</t>
        </is>
      </c>
      <c r="B16" s="2" t="inlineStr">
        <is>
          <t>Torneira de mesa bica alta para lavatório</t>
        </is>
      </c>
      <c r="C16" s="2" t="inlineStr">
        <is>
          <t>Deca / Tube</t>
        </is>
      </c>
      <c r="D16" s="2" t="inlineStr">
        <is>
          <t>Dark Antracite (fosco)</t>
        </is>
      </c>
      <c r="E16" s="2" t="n">
        <v>1</v>
      </c>
      <c r="F16" s="2" t="inlineStr">
        <is>
          <t>Banheiro Externo</t>
        </is>
      </c>
      <c r="G16" s="3" t="n"/>
      <c r="H16" s="2">
        <f>IF(AND(ISNUMBER(E16),ISNUMBER(G16)),E16*G16,"")</f>
        <v/>
      </c>
    </row>
    <row r="17">
      <c r="A17" s="2" t="inlineStr">
        <is>
          <t>CC67075INX</t>
        </is>
      </c>
      <c r="B17" s="2" t="inlineStr">
        <is>
          <t>Cuba de embutir retangular 75×40 cm, aço inox</t>
        </is>
      </c>
      <c r="C17" s="2" t="inlineStr">
        <is>
          <t>Deca / Suprema</t>
        </is>
      </c>
      <c r="D17" s="2" t="inlineStr">
        <is>
          <t>Inox</t>
        </is>
      </c>
      <c r="E17" s="2" t="n">
        <v>1</v>
      </c>
      <c r="F17" s="2" t="inlineStr">
        <is>
          <t>Cozinha</t>
        </is>
      </c>
      <c r="G17" s="3" t="n"/>
      <c r="H17" s="2">
        <f>IF(AND(ISNUMBER(E17),ISNUMBER(G17)),E17*G17,"")</f>
        <v/>
      </c>
    </row>
    <row r="18">
      <c r="A18" s="2" t="inlineStr">
        <is>
          <t>2275.INX</t>
        </is>
      </c>
      <c r="B18" s="2" t="inlineStr">
        <is>
          <t>Misturador monocomando de mesa para cozinha</t>
        </is>
      </c>
      <c r="C18" s="2" t="inlineStr">
        <is>
          <t>Deca</t>
        </is>
      </c>
      <c r="D18" s="2" t="inlineStr">
        <is>
          <t>Inox</t>
        </is>
      </c>
      <c r="E18" s="2" t="n">
        <v>1</v>
      </c>
      <c r="F18" s="2" t="inlineStr">
        <is>
          <t>Cozinha</t>
        </is>
      </c>
      <c r="G18" s="3" t="n"/>
      <c r="H18" s="2">
        <f>IF(AND(ISNUMBER(E18),ISNUMBER(G18)),E18*G18,"")</f>
        <v/>
      </c>
    </row>
    <row r="19">
      <c r="A19" s="2" t="inlineStr">
        <is>
          <t>4900.INX105.PQ</t>
        </is>
      </c>
      <c r="B19" s="2" t="inlineStr">
        <is>
          <t>Registro de gaveta até 1", acabamento quadrado</t>
        </is>
      </c>
      <c r="C19" s="2" t="inlineStr">
        <is>
          <t>Deca</t>
        </is>
      </c>
      <c r="D19" s="2" t="inlineStr">
        <is>
          <t>Inox</t>
        </is>
      </c>
      <c r="E19" s="2" t="n">
        <v>1</v>
      </c>
      <c r="F19" s="2" t="inlineStr">
        <is>
          <t>Cozinha</t>
        </is>
      </c>
      <c r="G19" s="3" t="n"/>
      <c r="H19" s="2">
        <f>IF(AND(ISNUMBER(E19),ISNUMBER(G19)),E19*G19,"")</f>
        <v/>
      </c>
    </row>
    <row r="20">
      <c r="A20" s="2" t="inlineStr">
        <is>
          <t>1682.C.112 (referência)</t>
        </is>
      </c>
      <c r="B20" s="2" t="inlineStr">
        <is>
          <t>Kit sifão articulado 1½" + engates flexíveis para cuba de cozinha</t>
        </is>
      </c>
      <c r="C20" s="2" t="inlineStr">
        <is>
          <t>Deca</t>
        </is>
      </c>
      <c r="D20" s="2" t="inlineStr">
        <is>
          <t>Cromado ou inox</t>
        </is>
      </c>
      <c r="E20" s="2" t="n">
        <v>2</v>
      </c>
      <c r="F20" s="2" t="inlineStr">
        <is>
          <t>Cozinha, Varanda Gourmet</t>
        </is>
      </c>
      <c r="G20" s="3" t="n"/>
      <c r="H20" s="2">
        <f>IF(AND(ISNUMBER(E20),ISNUMBER(G20)),E20*G20,"")</f>
        <v/>
      </c>
    </row>
    <row r="21">
      <c r="A21" s="2" t="inlineStr">
        <is>
          <t>—</t>
        </is>
      </c>
      <c r="B21" s="2" t="inlineStr">
        <is>
          <t>Filtro/purificador de água com retenção de metais pesados</t>
        </is>
      </c>
      <c r="C21" s="2" t="inlineStr">
        <is>
          <t>Purific / Camadas 10</t>
        </is>
      </c>
      <c r="D21" s="2" t="inlineStr">
        <is>
          <t>Torneira: escolher cor</t>
        </is>
      </c>
      <c r="E21" s="2" t="n">
        <v>1</v>
      </c>
      <c r="F21" s="2" t="inlineStr">
        <is>
          <t>Cozinha</t>
        </is>
      </c>
      <c r="G21" s="3" t="n"/>
      <c r="H21" s="2">
        <f>IF(AND(ISNUMBER(E21),ISNUMBER(G21)),E21*G21,"")</f>
        <v/>
      </c>
    </row>
    <row r="22">
      <c r="A22" s="2" t="inlineStr">
        <is>
          <t>CC66050INX</t>
        </is>
      </c>
      <c r="B22" s="2" t="inlineStr">
        <is>
          <t>Cuba de embutir retangular 50×40 cm, aço inox</t>
        </is>
      </c>
      <c r="C22" s="2" t="inlineStr">
        <is>
          <t>Deca / Suprema</t>
        </is>
      </c>
      <c r="D22" s="2" t="inlineStr">
        <is>
          <t>Inox</t>
        </is>
      </c>
      <c r="E22" s="2" t="n">
        <v>1</v>
      </c>
      <c r="F22" s="2" t="inlineStr">
        <is>
          <t>Varanda Gourmet</t>
        </is>
      </c>
      <c r="G22" s="3" t="n"/>
      <c r="H22" s="2">
        <f>IF(AND(ISNUMBER(E22),ISNUMBER(G22)),E22*G22,"")</f>
        <v/>
      </c>
    </row>
    <row r="23">
      <c r="A23" s="2" t="inlineStr">
        <is>
          <t>1167.C21</t>
        </is>
      </c>
      <c r="B23" s="2" t="inlineStr">
        <is>
          <t>Torneira de mesa bica móvel</t>
        </is>
      </c>
      <c r="C23" s="2" t="inlineStr">
        <is>
          <t>Deca / Flex Plus</t>
        </is>
      </c>
      <c r="D23" s="2" t="inlineStr">
        <is>
          <t>Cromado</t>
        </is>
      </c>
      <c r="E23" s="2" t="n">
        <v>1</v>
      </c>
      <c r="F23" s="2" t="inlineStr">
        <is>
          <t>Varanda Gourmet</t>
        </is>
      </c>
      <c r="G23" s="3" t="n"/>
      <c r="H23" s="2">
        <f>IF(AND(ISNUMBER(E23),ISNUMBER(G23)),E23*G23,"")</f>
        <v/>
      </c>
    </row>
    <row r="24">
      <c r="A24" s="2" t="inlineStr">
        <is>
          <t>—</t>
        </is>
      </c>
      <c r="B24" s="2" t="inlineStr">
        <is>
          <t>Tanque moldado 60×57 cm, 39 L, marmorizado sintético</t>
        </is>
      </c>
      <c r="C24" s="2" t="inlineStr">
        <is>
          <t>I.Corso / Premium</t>
        </is>
      </c>
      <c r="D24" s="2" t="inlineStr">
        <is>
          <t>Branco</t>
        </is>
      </c>
      <c r="E24" s="2" t="n">
        <v>1</v>
      </c>
      <c r="F24" s="2" t="inlineStr">
        <is>
          <t>Lavanderia</t>
        </is>
      </c>
      <c r="G24" s="3" t="n"/>
      <c r="H24" s="2">
        <f>IF(AND(ISNUMBER(E24),ISNUMBER(G24)),E24*G24,"")</f>
        <v/>
      </c>
    </row>
    <row r="25">
      <c r="A25" s="2" t="inlineStr">
        <is>
          <t>1178.C.LNK</t>
        </is>
      </c>
      <c r="B25" s="2" t="inlineStr">
        <is>
          <t>Torneira de parede bica longa para tanque</t>
        </is>
      </c>
      <c r="C25" s="2" t="inlineStr">
        <is>
          <t>Deca / Link</t>
        </is>
      </c>
      <c r="D25" s="2" t="inlineStr">
        <is>
          <t>Cromado</t>
        </is>
      </c>
      <c r="E25" s="2" t="n">
        <v>1</v>
      </c>
      <c r="F25" s="2" t="inlineStr">
        <is>
          <t>Lavanderia</t>
        </is>
      </c>
      <c r="G25" s="3" t="n"/>
      <c r="H25" s="2">
        <f>IF(AND(ISNUMBER(E25),ISNUMBER(G25)),E25*G25,"")</f>
        <v/>
      </c>
    </row>
    <row r="26">
      <c r="A26" s="2" t="inlineStr">
        <is>
          <t>—</t>
        </is>
      </c>
      <c r="B26" s="2" t="inlineStr">
        <is>
          <t>Varal de parede dobrável tipo sanfona, 7 varetas, 120 cm</t>
        </is>
      </c>
      <c r="C26" s="2" t="inlineStr">
        <is>
          <t>Varal Mágico</t>
        </is>
      </c>
      <c r="D26" s="2" t="inlineStr">
        <is>
          <t>Alumínio branco</t>
        </is>
      </c>
      <c r="E26" s="2" t="n">
        <v>1</v>
      </c>
      <c r="F26" s="2" t="inlineStr">
        <is>
          <t>Lavanderia</t>
        </is>
      </c>
      <c r="G26" s="3" t="n"/>
      <c r="H26" s="2">
        <f>IF(AND(ISNUMBER(E26),ISNUMBER(G26)),E26*G26,"")</f>
        <v/>
      </c>
    </row>
    <row r="27">
      <c r="A27" s="2" t="inlineStr">
        <is>
          <t>A CONFIRMAR</t>
        </is>
      </c>
      <c r="B27" s="2" t="inlineStr">
        <is>
          <t>Kit chuveirão de parede/piscina com acabamento de registro, só água fria</t>
        </is>
      </c>
      <c r="C27" s="2" t="inlineStr">
        <is>
          <t>Deca</t>
        </is>
      </c>
      <c r="D27" s="2" t="inlineStr">
        <is>
          <t>Cromado</t>
        </is>
      </c>
      <c r="E27" s="2" t="n">
        <v>1</v>
      </c>
      <c r="F27" s="2" t="inlineStr">
        <is>
          <t>Área externa / piscina</t>
        </is>
      </c>
      <c r="G27" s="3" t="n"/>
      <c r="H27" s="2">
        <f>IF(AND(ISNUMBER(E27),ISNUMBER(G27)),E27*G27,"")</f>
        <v/>
      </c>
    </row>
    <row r="28">
      <c r="A28" s="2" t="inlineStr">
        <is>
          <t>1153.C37</t>
        </is>
      </c>
      <c r="B28" s="2" t="inlineStr">
        <is>
          <t>Torneira para jardim e tanque com adaptador para mangueira</t>
        </is>
      </c>
      <c r="C28" s="2" t="inlineStr">
        <is>
          <t>Deca / Izy</t>
        </is>
      </c>
      <c r="D28" s="2" t="inlineStr">
        <is>
          <t>Cromado</t>
        </is>
      </c>
      <c r="E28" s="2" t="n">
        <v>1</v>
      </c>
      <c r="F28" s="2" t="inlineStr">
        <is>
          <t>Área externa / piscina</t>
        </is>
      </c>
      <c r="G28" s="3" t="n"/>
      <c r="H28" s="2">
        <f>IF(AND(ISNUMBER(E28),ISNUMBER(G28)),E28*G28,"")</f>
        <v/>
      </c>
    </row>
    <row r="29">
      <c r="A29" s="2" t="inlineStr"/>
      <c r="B29" s="2" t="inlineStr">
        <is>
          <t>TOTAL</t>
        </is>
      </c>
      <c r="C29" s="2" t="inlineStr"/>
      <c r="D29" s="2" t="inlineStr"/>
      <c r="E29" s="2" t="inlineStr"/>
      <c r="F29" s="2" t="inlineStr"/>
      <c r="G29" s="2" t="inlineStr"/>
      <c r="H29" s="2">
        <f>SUM(H2:H28)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70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Fornecedor</t>
        </is>
      </c>
      <c r="C1" s="1" t="inlineStr">
        <is>
          <t>Qtd. líquida</t>
        </is>
      </c>
      <c r="D1" s="1" t="inlineStr">
        <is>
          <t>Onde</t>
        </is>
      </c>
      <c r="E1" s="1" t="inlineStr">
        <is>
          <t>Orçamento (R$)</t>
        </is>
      </c>
    </row>
    <row r="2">
      <c r="A2" s="2" t="inlineStr">
        <is>
          <t>Pedra Moledo</t>
        </is>
      </c>
      <c r="B2" s="2" t="inlineStr">
        <is>
          <t>Pedreira</t>
        </is>
      </c>
      <c r="C2" s="2" t="inlineStr">
        <is>
          <t>32,93 m²</t>
        </is>
      </c>
      <c r="D2" s="2" t="inlineStr">
        <is>
          <t>Sala: fachadas sul 12,48 e leste 8,21 m² (h 3,20 m, desconta J01) + parede da TV 12,24 m² (h 3,40 m)</t>
        </is>
      </c>
      <c r="E2" s="2" t="n"/>
    </row>
    <row r="3">
      <c r="A3" s="2" t="inlineStr">
        <is>
          <t>Travertino Rock Face</t>
        </is>
      </c>
      <c r="B3" s="2" t="inlineStr">
        <is>
          <t>Pedreira</t>
        </is>
      </c>
      <c r="C3" s="2" t="inlineStr">
        <is>
          <t>6,51 m²</t>
        </is>
      </c>
      <c r="D3" s="2" t="inlineStr">
        <is>
          <t>Churrasqueira (frente e lateral) + faixa da bancada da varanda</t>
        </is>
      </c>
      <c r="E3" s="2" t="n"/>
    </row>
    <row r="4">
      <c r="A4" s="2" t="inlineStr">
        <is>
          <t>Pedra portuguesa branca</t>
        </is>
      </c>
      <c r="B4" s="2" t="inlineStr">
        <is>
          <t>Fornecedor de pedras</t>
        </is>
      </c>
      <c r="C4" s="2" t="inlineStr">
        <is>
          <t>150,10 m²</t>
        </is>
      </c>
      <c r="D4" s="2" t="inlineStr">
        <is>
          <t>Rampa 37,00 + acesso externo 15,03 + calçada 98,07 m²</t>
        </is>
      </c>
      <c r="E4" s="2" t="n"/>
    </row>
    <row r="5">
      <c r="A5" s="2" t="inlineStr">
        <is>
          <t>Soleira mármore Itaúnas, baguete 5 cm</t>
        </is>
      </c>
      <c r="B5" s="2" t="inlineStr">
        <is>
          <t>Marmoraria</t>
        </is>
      </c>
      <c r="C5" s="2" t="inlineStr">
        <is>
          <t>24,90 m</t>
        </is>
      </c>
      <c r="D5" s="2" t="inlineStr">
        <is>
          <t>9 peças: T01 0,80 · T02 1,80 · T03 3,00 · T04 3,00 · T05 2,70 · T06 0,80 · T07 0,90 · T08 7,40 · T09 4,50</t>
        </is>
      </c>
      <c r="E5" s="2" t="n"/>
    </row>
    <row r="6">
      <c r="A6" s="2" t="inlineStr">
        <is>
          <t>Piso intertravado drenante (opcional)</t>
        </is>
      </c>
      <c r="B6" s="2" t="inlineStr">
        <is>
          <t>A definir</t>
        </is>
      </c>
      <c r="C6" s="2" t="inlineStr">
        <is>
          <t>23,93 m²</t>
        </is>
      </c>
      <c r="D6" s="2" t="inlineStr">
        <is>
          <t>Somente se o Corredor Lateral Externo não for em P02</t>
        </is>
      </c>
      <c r="E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Box dos 4 banheiros: vidro temperado e ferragem (previsão: ferragem cromada).</t>
        </is>
      </c>
    </row>
    <row r="2">
      <c r="A2" s="2" t="inlineStr">
        <is>
          <t>Cozinha: torneira independente do lava-louças (inox ou cromado, a confirmar).</t>
        </is>
      </c>
    </row>
    <row r="3">
      <c r="A3" s="2" t="inlineStr">
        <is>
          <t>Lavanderia: torneira para 2º tanque ou ponto extra, se houver (sugestão: Deca Link 1178.C.LNK); registro/torneira da máquina de lavar (cromado).</t>
        </is>
      </c>
    </row>
    <row r="4">
      <c r="A4" s="2" t="inlineStr">
        <is>
          <t>Varanda coberta: torneira para lavagem/manutenção, se houver ponto de água.</t>
        </is>
      </c>
    </row>
    <row r="5">
      <c r="A5" s="2" t="inlineStr">
        <is>
          <t>Saboneteira: não haverá em nenhum banheiro. Lixeiras: fora do escopo (compra pelos clientes).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2026-09-26T23:21:03Z</dcterms:created>
  <dcterms:modified xsi:type="dcterms:W3CDTF">2026-09-26T23:21:03Z</dcterms:modified>
</cp:coreProperties>
</file>